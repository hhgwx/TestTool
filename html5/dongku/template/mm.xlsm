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7"/>
  </bookViews>
  <sheets>
    <sheet name="top" sheetId="3" r:id="rId1"/>
    <sheet name="map" sheetId="4" r:id="rId2"/>
    <sheet name="monster" sheetId="5" r:id="rId3"/>
    <sheet name="mono_wuqi" sheetId="7" r:id="rId4"/>
    <sheet name="mono_yaoshui" sheetId="8" r:id="rId5"/>
    <sheet name="group" sheetId="9" r:id="rId6"/>
    <sheet name="jineng" sheetId="12" r:id="rId7"/>
    <sheet name="Sheet1" sheetId="10" r:id="rId8"/>
    <sheet name="Sheet2" sheetId="11" r:id="rId9"/>
  </sheets>
  <calcPr calcId="152511"/>
</workbook>
</file>

<file path=xl/calcChain.xml><?xml version="1.0" encoding="utf-8"?>
<calcChain xmlns="http://schemas.openxmlformats.org/spreadsheetml/2006/main">
  <c r="C7" i="11" l="1"/>
  <c r="D7" i="11" s="1"/>
  <c r="B14" i="11"/>
  <c r="C5" i="1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P5" i="11" s="1"/>
  <c r="Q5" i="11" s="1"/>
  <c r="R5" i="11" s="1"/>
  <c r="S5" i="11" s="1"/>
  <c r="T5" i="11" s="1"/>
  <c r="U5" i="11" s="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BE5" i="11" s="1"/>
  <c r="BF5" i="11" s="1"/>
  <c r="BG5" i="11" s="1"/>
  <c r="BH5" i="11" s="1"/>
  <c r="BI5" i="11" s="1"/>
  <c r="BJ5" i="11" s="1"/>
  <c r="BK5" i="11" s="1"/>
  <c r="BL5" i="11" s="1"/>
  <c r="BM5" i="11" s="1"/>
  <c r="BN5" i="11" s="1"/>
  <c r="BO5" i="11" s="1"/>
  <c r="BP5" i="11" s="1"/>
  <c r="BQ5" i="11" s="1"/>
  <c r="BR5" i="11" s="1"/>
  <c r="BS5" i="11" s="1"/>
  <c r="BT5" i="11" s="1"/>
  <c r="BU5" i="11" s="1"/>
  <c r="BV5" i="11" s="1"/>
  <c r="BW5" i="11" s="1"/>
  <c r="BX5" i="11" s="1"/>
  <c r="BY5" i="11" s="1"/>
  <c r="BZ5" i="11" s="1"/>
  <c r="CA5" i="11" s="1"/>
  <c r="CB5" i="11" s="1"/>
  <c r="CC5" i="11" s="1"/>
  <c r="CD5" i="11" s="1"/>
  <c r="CE5" i="11" s="1"/>
  <c r="CF5" i="11" s="1"/>
  <c r="CG5" i="11" s="1"/>
  <c r="CH5" i="11" s="1"/>
  <c r="CI5" i="11" s="1"/>
  <c r="CJ5" i="11" s="1"/>
  <c r="CK5" i="11" s="1"/>
  <c r="CL5" i="11" s="1"/>
  <c r="CM5" i="11" s="1"/>
  <c r="CN5" i="11" s="1"/>
  <c r="CO5" i="11" s="1"/>
  <c r="CP5" i="11" s="1"/>
  <c r="CQ5" i="11" s="1"/>
  <c r="CR5" i="11" s="1"/>
  <c r="CS5" i="11" s="1"/>
  <c r="CT5" i="11" s="1"/>
  <c r="CU5" i="11" s="1"/>
  <c r="CV5" i="11" s="1"/>
  <c r="CW5" i="11" s="1"/>
  <c r="C3" i="11"/>
  <c r="D3" i="11" s="1"/>
  <c r="E3" i="11" s="1"/>
  <c r="F3" i="11" s="1"/>
  <c r="G3" i="11" s="1"/>
  <c r="H3" i="11" s="1"/>
  <c r="I3" i="11" s="1"/>
  <c r="J3" i="11" s="1"/>
  <c r="K3" i="11" s="1"/>
  <c r="L3" i="11" s="1"/>
  <c r="M3" i="11" s="1"/>
  <c r="N3" i="11" s="1"/>
  <c r="O3" i="11" s="1"/>
  <c r="P3" i="11" s="1"/>
  <c r="Q3" i="11" s="1"/>
  <c r="R3" i="11" s="1"/>
  <c r="S3" i="11" s="1"/>
  <c r="T3" i="11" s="1"/>
  <c r="U3" i="11" s="1"/>
  <c r="V3" i="11" s="1"/>
  <c r="W3" i="11" s="1"/>
  <c r="X3" i="11" s="1"/>
  <c r="Y3" i="11" s="1"/>
  <c r="Z3" i="11" s="1"/>
  <c r="AA3" i="11" s="1"/>
  <c r="AB3" i="11" s="1"/>
  <c r="AC3" i="11" s="1"/>
  <c r="AD3" i="11" s="1"/>
  <c r="AE3" i="11" s="1"/>
  <c r="AF3" i="11" s="1"/>
  <c r="AG3" i="11" s="1"/>
  <c r="AH3" i="11" s="1"/>
  <c r="AI3" i="11" s="1"/>
  <c r="AJ3" i="11" s="1"/>
  <c r="AK3" i="11" s="1"/>
  <c r="AL3" i="11" s="1"/>
  <c r="AM3" i="11" s="1"/>
  <c r="AN3" i="11" s="1"/>
  <c r="AO3" i="11" s="1"/>
  <c r="AP3" i="11" s="1"/>
  <c r="AQ3" i="11" s="1"/>
  <c r="AR3" i="11" s="1"/>
  <c r="AS3" i="11" s="1"/>
  <c r="AT3" i="11" s="1"/>
  <c r="AU3" i="11" s="1"/>
  <c r="AV3" i="11" s="1"/>
  <c r="AW3" i="11" s="1"/>
  <c r="AX3" i="11" s="1"/>
  <c r="AY3" i="11" s="1"/>
  <c r="AZ3" i="11" s="1"/>
  <c r="BA3" i="11" s="1"/>
  <c r="BB3" i="11" s="1"/>
  <c r="BC3" i="11" s="1"/>
  <c r="BD3" i="11" s="1"/>
  <c r="BE3" i="11" s="1"/>
  <c r="BF3" i="11" s="1"/>
  <c r="BG3" i="11" s="1"/>
  <c r="BH3" i="11" s="1"/>
  <c r="BI3" i="11" s="1"/>
  <c r="BJ3" i="11" s="1"/>
  <c r="BK3" i="11" s="1"/>
  <c r="BL3" i="11" s="1"/>
  <c r="BM3" i="11" s="1"/>
  <c r="BN3" i="11" s="1"/>
  <c r="BO3" i="11" s="1"/>
  <c r="BP3" i="11" s="1"/>
  <c r="BQ3" i="11" s="1"/>
  <c r="BR3" i="11" s="1"/>
  <c r="BS3" i="11" s="1"/>
  <c r="BT3" i="11" s="1"/>
  <c r="BU3" i="11" s="1"/>
  <c r="BV3" i="11" s="1"/>
  <c r="BW3" i="11" s="1"/>
  <c r="BX3" i="11" s="1"/>
  <c r="BY3" i="11" s="1"/>
  <c r="BZ3" i="11" s="1"/>
  <c r="CA3" i="11" s="1"/>
  <c r="CB3" i="11" s="1"/>
  <c r="CC3" i="11" s="1"/>
  <c r="CD3" i="11" s="1"/>
  <c r="CE3" i="11" s="1"/>
  <c r="CF3" i="11" s="1"/>
  <c r="CG3" i="11" s="1"/>
  <c r="CH3" i="11" s="1"/>
  <c r="CI3" i="11" s="1"/>
  <c r="CJ3" i="11" s="1"/>
  <c r="CK3" i="11" s="1"/>
  <c r="CL3" i="11" s="1"/>
  <c r="CM3" i="11" s="1"/>
  <c r="CN3" i="11" s="1"/>
  <c r="CO3" i="11" s="1"/>
  <c r="CP3" i="11" s="1"/>
  <c r="CQ3" i="11" s="1"/>
  <c r="CR3" i="11" s="1"/>
  <c r="CS3" i="11" s="1"/>
  <c r="CT3" i="11" s="1"/>
  <c r="CU3" i="11" s="1"/>
  <c r="CV3" i="11" s="1"/>
  <c r="CW3" i="11" s="1"/>
  <c r="C4" i="11"/>
  <c r="D4" i="11" s="1"/>
  <c r="E4" i="11" s="1"/>
  <c r="F4" i="11" s="1"/>
  <c r="G4" i="11" s="1"/>
  <c r="H4" i="11" s="1"/>
  <c r="I4" i="11" s="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AC4" i="11" s="1"/>
  <c r="AD4" i="11" s="1"/>
  <c r="AE4" i="11" s="1"/>
  <c r="AF4" i="11" s="1"/>
  <c r="AG4" i="11" s="1"/>
  <c r="AH4" i="11" s="1"/>
  <c r="AI4" i="11" s="1"/>
  <c r="AJ4" i="11" s="1"/>
  <c r="AK4" i="11" s="1"/>
  <c r="AL4" i="11" s="1"/>
  <c r="AM4" i="11" s="1"/>
  <c r="AN4" i="11" s="1"/>
  <c r="AO4" i="11" s="1"/>
  <c r="AP4" i="11" s="1"/>
  <c r="AQ4" i="11" s="1"/>
  <c r="AR4" i="11" s="1"/>
  <c r="AS4" i="11" s="1"/>
  <c r="AT4" i="11" s="1"/>
  <c r="AU4" i="11" s="1"/>
  <c r="AV4" i="11" s="1"/>
  <c r="AW4" i="11" s="1"/>
  <c r="AX4" i="11" s="1"/>
  <c r="AY4" i="11" s="1"/>
  <c r="AZ4" i="11" s="1"/>
  <c r="BA4" i="11" s="1"/>
  <c r="BB4" i="11" s="1"/>
  <c r="BC4" i="11" s="1"/>
  <c r="BD4" i="11" s="1"/>
  <c r="BE4" i="11" s="1"/>
  <c r="BF4" i="11" s="1"/>
  <c r="BG4" i="11" s="1"/>
  <c r="BH4" i="11" s="1"/>
  <c r="BI4" i="11" s="1"/>
  <c r="BJ4" i="11" s="1"/>
  <c r="BK4" i="11" s="1"/>
  <c r="BL4" i="11" s="1"/>
  <c r="BM4" i="11" s="1"/>
  <c r="BN4" i="11" s="1"/>
  <c r="BO4" i="11" s="1"/>
  <c r="BP4" i="11" s="1"/>
  <c r="BQ4" i="11" s="1"/>
  <c r="BR4" i="11" s="1"/>
  <c r="BS4" i="11" s="1"/>
  <c r="BT4" i="11" s="1"/>
  <c r="BU4" i="11" s="1"/>
  <c r="BV4" i="11" s="1"/>
  <c r="BW4" i="11" s="1"/>
  <c r="BX4" i="11" s="1"/>
  <c r="BY4" i="11" s="1"/>
  <c r="BZ4" i="11" s="1"/>
  <c r="CA4" i="11" s="1"/>
  <c r="CB4" i="11" s="1"/>
  <c r="CC4" i="11" s="1"/>
  <c r="CD4" i="11" s="1"/>
  <c r="CE4" i="11" s="1"/>
  <c r="CF4" i="11" s="1"/>
  <c r="CG4" i="11" s="1"/>
  <c r="CH4" i="11" s="1"/>
  <c r="CI4" i="11" s="1"/>
  <c r="CJ4" i="11" s="1"/>
  <c r="CK4" i="11" s="1"/>
  <c r="CL4" i="11" s="1"/>
  <c r="CM4" i="11" s="1"/>
  <c r="CN4" i="11" s="1"/>
  <c r="CO4" i="11" s="1"/>
  <c r="CP4" i="11" s="1"/>
  <c r="CQ4" i="11" s="1"/>
  <c r="CR4" i="11" s="1"/>
  <c r="CS4" i="11" s="1"/>
  <c r="CT4" i="11" s="1"/>
  <c r="CU4" i="11" s="1"/>
  <c r="CV4" i="11" s="1"/>
  <c r="CW4" i="11" s="1"/>
  <c r="C2" i="11"/>
  <c r="D2" i="11" s="1"/>
  <c r="E2" i="11" s="1"/>
  <c r="F2" i="11" s="1"/>
  <c r="G2" i="11" s="1"/>
  <c r="H2" i="11" s="1"/>
  <c r="I2" i="11" s="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AH2" i="11" s="1"/>
  <c r="AI2" i="11" s="1"/>
  <c r="AJ2" i="11" s="1"/>
  <c r="AK2" i="11" s="1"/>
  <c r="AL2" i="11" s="1"/>
  <c r="AM2" i="11" s="1"/>
  <c r="AN2" i="11" s="1"/>
  <c r="AO2" i="11" s="1"/>
  <c r="AP2" i="11" s="1"/>
  <c r="AQ2" i="11" s="1"/>
  <c r="AR2" i="11" s="1"/>
  <c r="AS2" i="11" s="1"/>
  <c r="AT2" i="11" s="1"/>
  <c r="AU2" i="11" s="1"/>
  <c r="AV2" i="11" s="1"/>
  <c r="AW2" i="11" s="1"/>
  <c r="AX2" i="11" s="1"/>
  <c r="AY2" i="11" s="1"/>
  <c r="AZ2" i="11" s="1"/>
  <c r="BA2" i="11" s="1"/>
  <c r="BB2" i="11" s="1"/>
  <c r="BC2" i="11" s="1"/>
  <c r="BD2" i="11" s="1"/>
  <c r="BE2" i="11" s="1"/>
  <c r="BF2" i="11" s="1"/>
  <c r="BG2" i="11" s="1"/>
  <c r="BH2" i="11" s="1"/>
  <c r="BI2" i="11" s="1"/>
  <c r="BJ2" i="11" s="1"/>
  <c r="BK2" i="11" s="1"/>
  <c r="BL2" i="11" s="1"/>
  <c r="BM2" i="11" s="1"/>
  <c r="BN2" i="11" s="1"/>
  <c r="BO2" i="11" s="1"/>
  <c r="BP2" i="11" s="1"/>
  <c r="BQ2" i="11" s="1"/>
  <c r="BR2" i="11" s="1"/>
  <c r="BS2" i="11" s="1"/>
  <c r="BT2" i="11" s="1"/>
  <c r="BU2" i="11" s="1"/>
  <c r="BV2" i="11" s="1"/>
  <c r="BW2" i="11" s="1"/>
  <c r="BX2" i="11" s="1"/>
  <c r="BY2" i="11" s="1"/>
  <c r="BZ2" i="11" s="1"/>
  <c r="CA2" i="11" s="1"/>
  <c r="CB2" i="11" s="1"/>
  <c r="CC2" i="11" s="1"/>
  <c r="CD2" i="11" s="1"/>
  <c r="CE2" i="11" s="1"/>
  <c r="CF2" i="11" s="1"/>
  <c r="CG2" i="11" s="1"/>
  <c r="CH2" i="11" s="1"/>
  <c r="CI2" i="11" s="1"/>
  <c r="CJ2" i="11" s="1"/>
  <c r="CK2" i="11" s="1"/>
  <c r="CL2" i="11" s="1"/>
  <c r="CM2" i="11" s="1"/>
  <c r="CN2" i="11" s="1"/>
  <c r="CO2" i="11" s="1"/>
  <c r="CP2" i="11" s="1"/>
  <c r="CQ2" i="11" s="1"/>
  <c r="CR2" i="11" s="1"/>
  <c r="CS2" i="11" s="1"/>
  <c r="CT2" i="11" s="1"/>
  <c r="CU2" i="11" s="1"/>
  <c r="CV2" i="11" s="1"/>
  <c r="CW2" i="11" s="1"/>
  <c r="D14" i="11" l="1"/>
  <c r="E7" i="11"/>
  <c r="F7" i="11" s="1"/>
  <c r="G7" i="11" s="1"/>
  <c r="H7" i="11" s="1"/>
  <c r="I7" i="11" s="1"/>
  <c r="J7" i="11" s="1"/>
  <c r="K7" i="11" s="1"/>
  <c r="L7" i="11" s="1"/>
  <c r="M7" i="11" s="1"/>
  <c r="N7" i="11" s="1"/>
  <c r="O7" i="11" s="1"/>
  <c r="P7" i="11" s="1"/>
  <c r="Q7" i="11" s="1"/>
  <c r="R7" i="11" s="1"/>
  <c r="S7" i="11" s="1"/>
  <c r="T7" i="11" s="1"/>
  <c r="U7" i="11" s="1"/>
  <c r="V7" i="11" s="1"/>
  <c r="W7" i="11" s="1"/>
  <c r="X7" i="11" s="1"/>
  <c r="Y7" i="11" s="1"/>
  <c r="Z7" i="11" s="1"/>
  <c r="AA7" i="11" s="1"/>
  <c r="AB7" i="11" s="1"/>
  <c r="AC7" i="11" s="1"/>
  <c r="AD7" i="11" s="1"/>
  <c r="AE7" i="11" s="1"/>
  <c r="C14" i="11"/>
  <c r="E14" i="11" l="1"/>
  <c r="F14" i="11"/>
  <c r="G14" i="11" l="1"/>
  <c r="H14" i="11" l="1"/>
  <c r="I14" i="11" l="1"/>
  <c r="J14" i="11" l="1"/>
  <c r="K14" i="11" l="1"/>
  <c r="L14" i="11" l="1"/>
  <c r="AF7" i="11"/>
  <c r="AG7" i="11" s="1"/>
  <c r="AH7" i="11" s="1"/>
  <c r="AI7" i="11" s="1"/>
  <c r="AJ7" i="11" s="1"/>
  <c r="AK7" i="11" s="1"/>
  <c r="AL7" i="11" s="1"/>
  <c r="AM7" i="11" s="1"/>
  <c r="AN7" i="11" s="1"/>
  <c r="AO7" i="11" s="1"/>
  <c r="AP7" i="11" s="1"/>
  <c r="AQ7" i="11" s="1"/>
  <c r="AR7" i="11" s="1"/>
  <c r="AS7" i="11" s="1"/>
  <c r="AT7" i="11" s="1"/>
  <c r="AU7" i="11" s="1"/>
  <c r="AV7" i="11" s="1"/>
  <c r="AW7" i="11" s="1"/>
  <c r="AX7" i="11" s="1"/>
  <c r="AY7" i="11" s="1"/>
  <c r="AZ7" i="11" s="1"/>
  <c r="BA7" i="11" s="1"/>
  <c r="BB7" i="11" s="1"/>
  <c r="BC7" i="11" s="1"/>
  <c r="BD7" i="11" s="1"/>
  <c r="BE7" i="11" s="1"/>
  <c r="BF7" i="11" s="1"/>
  <c r="BG7" i="11" s="1"/>
  <c r="BH7" i="11" s="1"/>
  <c r="BI7" i="11" s="1"/>
  <c r="BJ7" i="11" s="1"/>
  <c r="BK7" i="11" s="1"/>
  <c r="BL7" i="11" s="1"/>
  <c r="BM7" i="11" s="1"/>
  <c r="BN7" i="11" s="1"/>
  <c r="BO7" i="11" s="1"/>
  <c r="BP7" i="11" s="1"/>
  <c r="BQ7" i="11" s="1"/>
  <c r="BR7" i="11" s="1"/>
  <c r="BS7" i="11" s="1"/>
  <c r="BT7" i="11" s="1"/>
  <c r="BU7" i="11" s="1"/>
  <c r="BV7" i="11" s="1"/>
  <c r="BW7" i="11" s="1"/>
  <c r="BX7" i="11" s="1"/>
  <c r="BY7" i="11" s="1"/>
  <c r="BZ7" i="11" s="1"/>
  <c r="CA7" i="11" s="1"/>
  <c r="CB7" i="11" s="1"/>
  <c r="CC7" i="11" s="1"/>
  <c r="CD7" i="11" s="1"/>
  <c r="CE7" i="11" s="1"/>
  <c r="CF7" i="11" s="1"/>
  <c r="CG7" i="11" s="1"/>
  <c r="CH7" i="11" s="1"/>
  <c r="CI7" i="11" s="1"/>
  <c r="CJ7" i="11" s="1"/>
  <c r="CK7" i="11" s="1"/>
  <c r="CL7" i="11" s="1"/>
  <c r="CM7" i="11" s="1"/>
  <c r="CN7" i="11" s="1"/>
  <c r="CO7" i="11" s="1"/>
  <c r="CP7" i="11" s="1"/>
  <c r="CQ7" i="11" s="1"/>
  <c r="CR7" i="11" s="1"/>
  <c r="CS7" i="11" s="1"/>
  <c r="CT7" i="11" s="1"/>
  <c r="CU7" i="11" s="1"/>
  <c r="CV7" i="11" s="1"/>
  <c r="CW7" i="11" s="1"/>
</calcChain>
</file>

<file path=xl/sharedStrings.xml><?xml version="1.0" encoding="utf-8"?>
<sst xmlns="http://schemas.openxmlformats.org/spreadsheetml/2006/main" count="697" uniqueCount="286">
  <si>
    <t>number</t>
    <phoneticPr fontId="1"/>
  </si>
  <si>
    <t>array</t>
    <phoneticPr fontId="1"/>
  </si>
  <si>
    <t>0.3</t>
    <phoneticPr fontId="1"/>
  </si>
  <si>
    <t>level</t>
  </si>
  <si>
    <t>diffcute</t>
  </si>
  <si>
    <t>map_boss_json</t>
  </si>
  <si>
    <t>map_monster_json</t>
  </si>
  <si>
    <t>map_wall_png</t>
  </si>
  <si>
    <t>map_supriseBox_closed_png</t>
  </si>
  <si>
    <t>map_supriseBox_opened_png</t>
  </si>
  <si>
    <t>map_outDoor_png</t>
  </si>
  <si>
    <t>map</t>
  </si>
  <si>
    <t>number</t>
  </si>
  <si>
    <t>array</t>
  </si>
  <si>
    <t>0</t>
    <phoneticPr fontId="1"/>
  </si>
  <si>
    <t>map</t>
    <phoneticPr fontId="1"/>
  </si>
  <si>
    <t>dropYaoshui</t>
    <phoneticPr fontId="1"/>
  </si>
  <si>
    <t>map_road_png</t>
    <phoneticPr fontId="1"/>
  </si>
  <si>
    <t>dropYaoshuiPer</t>
    <phoneticPr fontId="1"/>
  </si>
  <si>
    <t>dropWuqi</t>
    <phoneticPr fontId="1"/>
  </si>
  <si>
    <t>dropWuqiPer</t>
    <phoneticPr fontId="1"/>
  </si>
  <si>
    <t>special_per</t>
    <phoneticPr fontId="1"/>
  </si>
  <si>
    <t>special_value</t>
    <phoneticPr fontId="1"/>
  </si>
  <si>
    <t>"res/monster/901.json"</t>
    <phoneticPr fontId="1"/>
  </si>
  <si>
    <t>"001_001"
"001_002"</t>
    <phoneticPr fontId="1"/>
  </si>
  <si>
    <t>0.2
0.4</t>
    <phoneticPr fontId="1"/>
  </si>
  <si>
    <t>0.4
0.5</t>
    <phoneticPr fontId="1"/>
  </si>
  <si>
    <t>"road/001.png"</t>
    <phoneticPr fontId="1"/>
  </si>
  <si>
    <t>"res/monster/001.json"
"res/monster/002.json"</t>
    <phoneticPr fontId="1"/>
  </si>
  <si>
    <t>"wall/001.png"
"wall/002.png"</t>
    <phoneticPr fontId="1"/>
  </si>
  <si>
    <t>"door/001.png"</t>
    <phoneticPr fontId="1"/>
  </si>
  <si>
    <t>2</t>
    <phoneticPr fontId="1"/>
  </si>
  <si>
    <t>1</t>
    <phoneticPr fontId="1"/>
  </si>
  <si>
    <t>monster</t>
    <phoneticPr fontId="1"/>
  </si>
  <si>
    <t>\res\map\</t>
    <phoneticPr fontId="1"/>
  </si>
  <si>
    <t>\res\monster\</t>
    <phoneticPr fontId="1"/>
  </si>
  <si>
    <t>name</t>
    <phoneticPr fontId="1"/>
  </si>
  <si>
    <t>type</t>
    <phoneticPr fontId="1"/>
  </si>
  <si>
    <t>pic</t>
    <phoneticPr fontId="1"/>
  </si>
  <si>
    <t>pic_att</t>
    <phoneticPr fontId="1"/>
  </si>
  <si>
    <t>property</t>
    <phoneticPr fontId="1"/>
  </si>
  <si>
    <t>allXue</t>
    <phoneticPr fontId="1"/>
  </si>
  <si>
    <t>jingyan</t>
    <phoneticPr fontId="1"/>
  </si>
  <si>
    <t>jinbi</t>
    <phoneticPr fontId="1"/>
  </si>
  <si>
    <t>string</t>
    <phoneticPr fontId="1"/>
  </si>
  <si>
    <t>0</t>
    <phoneticPr fontId="1"/>
  </si>
  <si>
    <t>10</t>
    <phoneticPr fontId="1"/>
  </si>
  <si>
    <t>mono_wuqi</t>
    <phoneticPr fontId="1"/>
  </si>
  <si>
    <t>\res\mono_wuqi\</t>
    <phoneticPr fontId="1"/>
  </si>
  <si>
    <t>mapLevel</t>
    <phoneticPr fontId="1"/>
  </si>
  <si>
    <t>soldGold</t>
    <phoneticPr fontId="1"/>
  </si>
  <si>
    <t>groupNum</t>
    <phoneticPr fontId="1"/>
  </si>
  <si>
    <t>special_type</t>
    <phoneticPr fontId="1"/>
  </si>
  <si>
    <t>1</t>
    <phoneticPr fontId="1"/>
  </si>
  <si>
    <t>0
2
0
5</t>
    <phoneticPr fontId="1"/>
  </si>
  <si>
    <t>20</t>
    <phoneticPr fontId="1"/>
  </si>
  <si>
    <t>-1</t>
    <phoneticPr fontId="1"/>
  </si>
  <si>
    <t>0
2
10
0</t>
    <phoneticPr fontId="1"/>
  </si>
  <si>
    <t>3</t>
  </si>
  <si>
    <t>4</t>
  </si>
  <si>
    <t>5</t>
  </si>
  <si>
    <t>6</t>
  </si>
  <si>
    <t>7</t>
  </si>
  <si>
    <t>2
0
0
5</t>
    <phoneticPr fontId="1"/>
  </si>
  <si>
    <t>3
2
0
0</t>
    <phoneticPr fontId="1"/>
  </si>
  <si>
    <t>2
2
0
0</t>
    <phoneticPr fontId="1"/>
  </si>
  <si>
    <t>0
2
5
0</t>
    <phoneticPr fontId="1"/>
  </si>
  <si>
    <t>null</t>
    <phoneticPr fontId="1"/>
  </si>
  <si>
    <t>addXue</t>
    <phoneticPr fontId="1"/>
  </si>
  <si>
    <t>addMo</t>
    <phoneticPr fontId="1"/>
  </si>
  <si>
    <t>50</t>
    <phoneticPr fontId="1"/>
  </si>
  <si>
    <t>200</t>
    <phoneticPr fontId="1"/>
  </si>
  <si>
    <t>1000</t>
    <phoneticPr fontId="1"/>
  </si>
  <si>
    <t>2000</t>
    <phoneticPr fontId="1"/>
  </si>
  <si>
    <t>500</t>
    <phoneticPr fontId="1"/>
  </si>
  <si>
    <t>4000</t>
    <phoneticPr fontId="1"/>
  </si>
  <si>
    <t>10000</t>
    <phoneticPr fontId="1"/>
  </si>
  <si>
    <t>1500</t>
    <phoneticPr fontId="1"/>
  </si>
  <si>
    <t>20000</t>
    <phoneticPr fontId="1"/>
  </si>
  <si>
    <t>2500</t>
    <phoneticPr fontId="1"/>
  </si>
  <si>
    <t>mono_yaoshui</t>
    <phoneticPr fontId="1"/>
  </si>
  <si>
    <t>\res\mono_yaoshui\</t>
    <phoneticPr fontId="1"/>
  </si>
  <si>
    <t>group</t>
    <phoneticPr fontId="1"/>
  </si>
  <si>
    <t>\res\mono_wuqi\group\</t>
    <phoneticPr fontId="1"/>
  </si>
  <si>
    <t>have246_type</t>
    <phoneticPr fontId="1"/>
  </si>
  <si>
    <t>have246_value</t>
    <phoneticPr fontId="1"/>
  </si>
  <si>
    <t>0
0
0</t>
    <phoneticPr fontId="1"/>
  </si>
  <si>
    <t>// TODO 総件数</t>
  </si>
  <si>
    <t>//20190110 他社物連動をいい物件ボードで確認できる件 End</t>
  </si>
  <si>
    <t>} catch ( Eseikatsu.Conversion.Task.AlreadyCanceledException exCanceled ) {</t>
  </si>
  <si>
    <t>#region キャンセルがスローされた</t>
  </si>
  <si>
    <t>this.StepStatus.Status = Eseikatsu.Conversion.Task.StepStatus.StatusValues.Canceled;</t>
  </si>
  <si>
    <t>this.StepStatus.LastException = exCanceled;</t>
  </si>
  <si>
    <t>this.e3OutputEngine.Cancel();</t>
  </si>
  <si>
    <t>return;</t>
  </si>
  <si>
    <t>#endregion</t>
  </si>
  <si>
    <t>} catch ( Exception exUnknown ) {</t>
  </si>
  <si>
    <t>#region キャンセル以外の例外をキャッチ</t>
  </si>
  <si>
    <t>this.StepStatus.Status = Eseikatsu.Conversion.Task.StepStatus.StatusValues.Failed;</t>
  </si>
  <si>
    <t>this.StepStatus.LastException = exUnknown;</t>
  </si>
  <si>
    <t>} finally {</t>
  </si>
  <si>
    <t>#region ストリームのクローズ</t>
  </si>
  <si>
    <t>if ( streamInput != null ) {</t>
  </si>
  <si>
    <t>streamInput.Close();</t>
  </si>
  <si>
    <t>} // end if</t>
  </si>
  <si>
    <t>streamInput = null;</t>
  </si>
  <si>
    <t>readerInput = null;</t>
  </si>
  <si>
    <t>20</t>
    <phoneticPr fontId="1"/>
  </si>
  <si>
    <t>autoMapWalkLen</t>
    <phoneticPr fontId="1"/>
  </si>
  <si>
    <t>autoMapMinBoxNum</t>
    <phoneticPr fontId="1"/>
  </si>
  <si>
    <t>autoMapMaxBoxNum</t>
    <phoneticPr fontId="1"/>
  </si>
  <si>
    <t>10</t>
    <phoneticPr fontId="1"/>
  </si>
  <si>
    <t>25</t>
    <phoneticPr fontId="1"/>
  </si>
  <si>
    <t>autoMapMinMonsterNum</t>
    <phoneticPr fontId="1"/>
  </si>
  <si>
    <t>autoMapMaxMonsterNum</t>
    <phoneticPr fontId="1"/>
  </si>
  <si>
    <t>map_goldBox_per</t>
    <phoneticPr fontId="1"/>
  </si>
  <si>
    <t>number</t>
    <phoneticPr fontId="1"/>
  </si>
  <si>
    <t>3</t>
    <phoneticPr fontId="1"/>
  </si>
  <si>
    <t>4</t>
    <phoneticPr fontId="1"/>
  </si>
  <si>
    <t>5</t>
    <phoneticPr fontId="1"/>
  </si>
  <si>
    <t>1,1,10,5
1,1,1
2,2,2,1
1,1,5</t>
    <phoneticPr fontId="1"/>
  </si>
  <si>
    <t>"supriseBox/001.png"
"supriseBox/002.png"
"supriseBox/003.png"</t>
    <phoneticPr fontId="1"/>
  </si>
  <si>
    <t>"supriseBox/004.png"
"supriseBox/005.png"
"supriseBox/006.png"</t>
    <phoneticPr fontId="1"/>
  </si>
  <si>
    <t>3
8
15</t>
    <phoneticPr fontId="1"/>
  </si>
  <si>
    <t>3</t>
    <phoneticPr fontId="1"/>
  </si>
  <si>
    <t>8</t>
    <phoneticPr fontId="1"/>
  </si>
  <si>
    <t>10
5
10
0</t>
    <phoneticPr fontId="1"/>
  </si>
  <si>
    <t>15
2
10
0</t>
    <phoneticPr fontId="1"/>
  </si>
  <si>
    <t>has_boss_flag</t>
    <phoneticPr fontId="1"/>
  </si>
  <si>
    <t>gong</t>
    <phoneticPr fontId="1"/>
  </si>
  <si>
    <t>fang</t>
    <phoneticPr fontId="1"/>
  </si>
  <si>
    <t>xue</t>
    <phoneticPr fontId="1"/>
  </si>
  <si>
    <t>mo</t>
    <phoneticPr fontId="1"/>
  </si>
  <si>
    <t>jingyan</t>
    <phoneticPr fontId="1"/>
  </si>
  <si>
    <t>guai_jingyan</t>
    <phoneticPr fontId="1"/>
  </si>
  <si>
    <t>7</t>
    <phoneticPr fontId="1"/>
  </si>
  <si>
    <t>0.15
0.3</t>
    <phoneticPr fontId="1"/>
  </si>
  <si>
    <t>"res/monster/002.json"
"res/monster/003.json"</t>
    <phoneticPr fontId="1"/>
  </si>
  <si>
    <t>"res/monster/003.json"
"res/monster/004.json"</t>
    <phoneticPr fontId="1"/>
  </si>
  <si>
    <t>6</t>
    <phoneticPr fontId="1"/>
  </si>
  <si>
    <t>8</t>
  </si>
  <si>
    <t>9</t>
  </si>
  <si>
    <t>10</t>
  </si>
  <si>
    <t>"res/monster/005.json"
"res/monster/006.json"</t>
    <phoneticPr fontId="1"/>
  </si>
  <si>
    <t>"res/monster/006.json"
"res/monster/007.json"</t>
    <phoneticPr fontId="1"/>
  </si>
  <si>
    <t>"res/monster/007.json"
"res/monster/008.json"</t>
    <phoneticPr fontId="1"/>
  </si>
  <si>
    <t>"road/002.png"</t>
    <phoneticPr fontId="1"/>
  </si>
  <si>
    <t>"wall/003.png"
"wall/004.png"</t>
    <phoneticPr fontId="1"/>
  </si>
  <si>
    <t>0.2
0.4
0.5
0.6
0.7
0.8
0.9
1</t>
    <phoneticPr fontId="1"/>
  </si>
  <si>
    <t>0.2
0.4
0.5
0.6
0.7
0.8
0.9
1.3</t>
    <phoneticPr fontId="1"/>
  </si>
  <si>
    <t>"000_002"
"001_002"
"004_002"
"005_002"
"006_002"
"007_002"
"002_001"
"003_001"</t>
    <phoneticPr fontId="1"/>
  </si>
  <si>
    <t>"000_002"
"001_002"
"005_002"
"006_002"
"007_002"
"002_001"
"003_001"
"004_001"</t>
    <phoneticPr fontId="1"/>
  </si>
  <si>
    <t>"000_002"
"001_002"
"002_002"
"003_002"
"004_002"
"007_002"
"005_001"
"006_001"</t>
    <phoneticPr fontId="1"/>
  </si>
  <si>
    <t>"000_002"
"001_002"
"002_002"
"003_002"
"004_002"
"005_001"
"006_001"
"007_001"</t>
    <phoneticPr fontId="1"/>
  </si>
  <si>
    <t>40</t>
    <phoneticPr fontId="1"/>
  </si>
  <si>
    <t>15
5
20
0</t>
    <phoneticPr fontId="1"/>
  </si>
  <si>
    <t>15</t>
    <phoneticPr fontId="1"/>
  </si>
  <si>
    <t>17
2
20
0</t>
    <phoneticPr fontId="1"/>
  </si>
  <si>
    <t>20
5
25
0</t>
    <phoneticPr fontId="1"/>
  </si>
  <si>
    <t>25
2
30
0</t>
    <phoneticPr fontId="1"/>
  </si>
  <si>
    <t>28
5
35
0</t>
    <phoneticPr fontId="1"/>
  </si>
  <si>
    <t>30
5
40
0</t>
    <phoneticPr fontId="1"/>
  </si>
  <si>
    <t>50
20
500
0</t>
    <phoneticPr fontId="1"/>
  </si>
  <si>
    <t>30</t>
    <phoneticPr fontId="1"/>
  </si>
  <si>
    <t>35</t>
    <phoneticPr fontId="1"/>
  </si>
  <si>
    <t>60
25
800
0</t>
    <phoneticPr fontId="1"/>
  </si>
  <si>
    <t>800</t>
    <phoneticPr fontId="1"/>
  </si>
  <si>
    <t>70</t>
    <phoneticPr fontId="1"/>
  </si>
  <si>
    <t>700</t>
    <phoneticPr fontId="1"/>
  </si>
  <si>
    <t>string</t>
    <phoneticPr fontId="1"/>
  </si>
  <si>
    <t>流浪小狗</t>
    <phoneticPr fontId="1"/>
  </si>
  <si>
    <t>流浪小猫</t>
  </si>
  <si>
    <t>流浪蟑螂</t>
  </si>
  <si>
    <t>蜜蜂卫士</t>
  </si>
  <si>
    <t>秃鹰</t>
  </si>
  <si>
    <t>贪吃的蝗虫</t>
  </si>
  <si>
    <t>魔菇</t>
  </si>
  <si>
    <t>枯树精</t>
  </si>
  <si>
    <t>蛙王</t>
  </si>
  <si>
    <t>流浪的龙</t>
  </si>
  <si>
    <t>monster/001.png</t>
  </si>
  <si>
    <t>monster/002.png</t>
  </si>
  <si>
    <t>monster/003.png</t>
  </si>
  <si>
    <t>monster/004.png</t>
  </si>
  <si>
    <t>monster/005.png</t>
  </si>
  <si>
    <t>monster/006.png</t>
  </si>
  <si>
    <t>monster/007.png</t>
  </si>
  <si>
    <t>monster/008.png</t>
  </si>
  <si>
    <t>monster/901.png</t>
  </si>
  <si>
    <t>monster/902.png</t>
  </si>
  <si>
    <t>002_001</t>
  </si>
  <si>
    <t>隔壁老王的头盔</t>
  </si>
  <si>
    <t>003_001</t>
  </si>
  <si>
    <t>隔壁老王的菜刀</t>
  </si>
  <si>
    <t>004_001</t>
  </si>
  <si>
    <t>隔壁老王的衣服</t>
  </si>
  <si>
    <t>005_001</t>
  </si>
  <si>
    <t>隔壁老王的手套</t>
  </si>
  <si>
    <t>006_001</t>
  </si>
  <si>
    <t>隔壁老王的鞋子</t>
  </si>
  <si>
    <t>007_001</t>
  </si>
  <si>
    <t>隔壁老王的裤子</t>
  </si>
  <si>
    <t>000_002</t>
  </si>
  <si>
    <t>奇怪的项链</t>
  </si>
  <si>
    <t>001_002</t>
  </si>
  <si>
    <t>奇怪的戒指</t>
  </si>
  <si>
    <t>002_002</t>
  </si>
  <si>
    <t>003_002</t>
  </si>
  <si>
    <t>004_002</t>
  </si>
  <si>
    <t>005_002</t>
  </si>
  <si>
    <t>006_002</t>
  </si>
  <si>
    <t>007_002</t>
  </si>
  <si>
    <t>001_001</t>
  </si>
  <si>
    <t>生命药水(小)</t>
  </si>
  <si>
    <t>法力药水(小)</t>
  </si>
  <si>
    <t>001_003</t>
  </si>
  <si>
    <t>生命药水(中)</t>
  </si>
  <si>
    <t>001_004</t>
  </si>
  <si>
    <t>法力药水(中)</t>
  </si>
  <si>
    <t>001_005</t>
  </si>
  <si>
    <t>生命药水(大)</t>
  </si>
  <si>
    <t>001_006</t>
  </si>
  <si>
    <t>法力药水(大)</t>
  </si>
  <si>
    <t>001_007</t>
  </si>
  <si>
    <t>生命药水(特大)</t>
  </si>
  <si>
    <t>001_008</t>
  </si>
  <si>
    <t>法力药水(特大)</t>
  </si>
  <si>
    <t>001_009</t>
  </si>
  <si>
    <t>龙血</t>
  </si>
  <si>
    <t>001_010</t>
  </si>
  <si>
    <t>龙髓</t>
  </si>
  <si>
    <t>001_011</t>
  </si>
  <si>
    <t>浓缩龙血</t>
  </si>
  <si>
    <t>001_012</t>
  </si>
  <si>
    <t>浓缩龙髓</t>
  </si>
  <si>
    <t>隔壁老王套装</t>
  </si>
  <si>
    <t>001</t>
    <phoneticPr fontId="1"/>
  </si>
  <si>
    <t>002</t>
  </si>
  <si>
    <t>003</t>
  </si>
  <si>
    <t>004</t>
  </si>
  <si>
    <t>005</t>
  </si>
  <si>
    <t>006</t>
  </si>
  <si>
    <t>007</t>
  </si>
  <si>
    <t>008</t>
  </si>
  <si>
    <t>10</t>
    <phoneticPr fontId="1"/>
  </si>
  <si>
    <t>100</t>
    <phoneticPr fontId="1"/>
  </si>
  <si>
    <t>200</t>
    <phoneticPr fontId="1"/>
  </si>
  <si>
    <t>500</t>
    <phoneticPr fontId="1"/>
  </si>
  <si>
    <t>1000</t>
    <phoneticPr fontId="1"/>
  </si>
  <si>
    <t>2000</t>
    <phoneticPr fontId="1"/>
  </si>
  <si>
    <t>soldGold</t>
    <phoneticPr fontId="1"/>
  </si>
  <si>
    <t>1: "防御"</t>
  </si>
  <si>
    <t>2: "血量"</t>
  </si>
  <si>
    <t>3: "魔量"</t>
  </si>
  <si>
    <t>6: "穿透"</t>
  </si>
  <si>
    <t>8: "植物系"</t>
  </si>
  <si>
    <t>9: "其他系"</t>
  </si>
  <si>
    <t>10: "全     系"</t>
  </si>
  <si>
    <t>11: "幸运"</t>
  </si>
  <si>
    <r>
      <t>150%攻</t>
    </r>
    <r>
      <rPr>
        <sz val="11"/>
        <color theme="1"/>
        <rFont val="ＭＳ Ｐゴシック"/>
        <family val="3"/>
        <charset val="134"/>
        <scheme val="minor"/>
      </rPr>
      <t>击</t>
    </r>
    <phoneticPr fontId="1"/>
  </si>
  <si>
    <r>
      <t>120%攻</t>
    </r>
    <r>
      <rPr>
        <sz val="11"/>
        <color theme="1"/>
        <rFont val="ＭＳ Ｐゴシック"/>
        <family val="3"/>
        <charset val="134"/>
        <scheme val="minor"/>
      </rPr>
      <t>击+50%吸</t>
    </r>
    <phoneticPr fontId="1"/>
  </si>
  <si>
    <r>
      <t>5%反</t>
    </r>
    <r>
      <rPr>
        <sz val="11"/>
        <color theme="1"/>
        <rFont val="ＭＳ Ｐゴシック"/>
        <family val="3"/>
        <charset val="134"/>
        <scheme val="minor"/>
      </rPr>
      <t>弹</t>
    </r>
    <phoneticPr fontId="1"/>
  </si>
  <si>
    <r>
      <t>10%反</t>
    </r>
    <r>
      <rPr>
        <sz val="11"/>
        <color theme="1"/>
        <rFont val="ＭＳ Ｐゴシック"/>
        <family val="3"/>
        <charset val="134"/>
        <scheme val="minor"/>
      </rPr>
      <t>弹</t>
    </r>
    <phoneticPr fontId="1"/>
  </si>
  <si>
    <t>二重身</t>
    <phoneticPr fontId="1"/>
  </si>
  <si>
    <r>
      <t>0: "攻</t>
    </r>
    <r>
      <rPr>
        <sz val="11"/>
        <color theme="0" tint="-4.9989318521683403E-2"/>
        <rFont val="ＭＳ Ｐゴシック"/>
        <family val="3"/>
        <charset val="134"/>
        <scheme val="minor"/>
      </rPr>
      <t>击</t>
    </r>
    <r>
      <rPr>
        <sz val="11"/>
        <color theme="0" tint="-4.9989318521683403E-2"/>
        <rFont val="ＭＳ Ｐゴシック"/>
        <family val="3"/>
        <charset val="128"/>
        <scheme val="minor"/>
      </rPr>
      <t>"</t>
    </r>
  </si>
  <si>
    <r>
      <t>4: "爆</t>
    </r>
    <r>
      <rPr>
        <sz val="11"/>
        <color theme="0" tint="-4.9989318521683403E-2"/>
        <rFont val="ＭＳ Ｐゴシック"/>
        <family val="3"/>
        <charset val="134"/>
        <scheme val="minor"/>
      </rPr>
      <t>击</t>
    </r>
    <r>
      <rPr>
        <sz val="11"/>
        <color theme="0" tint="-4.9989318521683403E-2"/>
        <rFont val="ＭＳ Ｐゴシック"/>
        <family val="3"/>
        <charset val="128"/>
        <scheme val="minor"/>
      </rPr>
      <t>"</t>
    </r>
  </si>
  <si>
    <r>
      <t>5: "</t>
    </r>
    <r>
      <rPr>
        <sz val="11"/>
        <color theme="0" tint="-4.9989318521683403E-2"/>
        <rFont val="ＭＳ Ｐゴシック"/>
        <family val="3"/>
        <charset val="134"/>
        <scheme val="minor"/>
      </rPr>
      <t>闪</t>
    </r>
    <r>
      <rPr>
        <sz val="11"/>
        <color theme="0" tint="-4.9989318521683403E-2"/>
        <rFont val="ＭＳ Ｐゴシック"/>
        <family val="3"/>
        <charset val="128"/>
        <scheme val="minor"/>
      </rPr>
      <t>避"</t>
    </r>
  </si>
  <si>
    <r>
      <t>7: "</t>
    </r>
    <r>
      <rPr>
        <sz val="11"/>
        <color theme="0" tint="-4.9989318521683403E-2"/>
        <rFont val="ＭＳ Ｐゴシック"/>
        <family val="3"/>
        <charset val="134"/>
        <scheme val="minor"/>
      </rPr>
      <t>动</t>
    </r>
    <r>
      <rPr>
        <sz val="11"/>
        <color theme="0" tint="-4.9989318521683403E-2"/>
        <rFont val="ＭＳ Ｐゴシック"/>
        <family val="3"/>
        <charset val="128"/>
        <scheme val="minor"/>
      </rPr>
      <t>物系"</t>
    </r>
  </si>
  <si>
    <r>
      <t>12: "</t>
    </r>
    <r>
      <rPr>
        <sz val="11"/>
        <color theme="0" tint="-4.9989318521683403E-2"/>
        <rFont val="ＭＳ Ｐゴシック"/>
        <family val="3"/>
        <charset val="134"/>
        <scheme val="minor"/>
      </rPr>
      <t>经验</t>
    </r>
    <r>
      <rPr>
        <sz val="11"/>
        <color theme="0" tint="-4.9989318521683403E-2"/>
        <rFont val="ＭＳ Ｐゴシック"/>
        <family val="3"/>
        <charset val="128"/>
        <scheme val="minor"/>
      </rPr>
      <t>"</t>
    </r>
  </si>
  <si>
    <r>
      <t>13: "金</t>
    </r>
    <r>
      <rPr>
        <sz val="11"/>
        <color theme="0" tint="-4.9989318521683403E-2"/>
        <rFont val="ＭＳ Ｐゴシック"/>
        <family val="3"/>
        <charset val="134"/>
        <scheme val="minor"/>
      </rPr>
      <t>币</t>
    </r>
    <r>
      <rPr>
        <sz val="11"/>
        <color theme="0" tint="-4.9989318521683403E-2"/>
        <rFont val="ＭＳ Ｐゴシック"/>
        <family val="3"/>
        <charset val="128"/>
        <scheme val="minor"/>
      </rPr>
      <t>"</t>
    </r>
  </si>
  <si>
    <r>
      <t>10%</t>
    </r>
    <r>
      <rPr>
        <sz val="11"/>
        <color theme="1"/>
        <rFont val="ＭＳ Ｐゴシック"/>
        <family val="3"/>
        <charset val="134"/>
        <scheme val="minor"/>
      </rPr>
      <t>闪避且追击</t>
    </r>
    <phoneticPr fontId="1"/>
  </si>
  <si>
    <t>战斗结束10%回复10%</t>
    <phoneticPr fontId="1"/>
  </si>
  <si>
    <t>战斗结束10%回复10%+10%</t>
    <phoneticPr fontId="1"/>
  </si>
  <si>
    <r>
      <t>5%</t>
    </r>
    <r>
      <rPr>
        <sz val="11"/>
        <color theme="1"/>
        <rFont val="ＭＳ Ｐゴシック"/>
        <family val="3"/>
        <charset val="134"/>
        <scheme val="minor"/>
      </rPr>
      <t>闪避且追击</t>
    </r>
    <phoneticPr fontId="1"/>
  </si>
  <si>
    <r>
      <t>效果超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3"/>
        <charset val="129"/>
        <scheme val="minor"/>
      </rPr>
      <t>强</t>
    </r>
    <r>
      <rPr>
        <sz val="11"/>
        <color theme="1"/>
        <rFont val="ＭＳ Ｐゴシック"/>
        <family val="2"/>
        <scheme val="minor"/>
      </rPr>
      <t>化
100%</t>
    </r>
    <phoneticPr fontId="1"/>
  </si>
  <si>
    <r>
      <t>效果</t>
    </r>
    <r>
      <rPr>
        <sz val="11"/>
        <color theme="1"/>
        <rFont val="ＭＳ Ｐゴシック"/>
        <family val="3"/>
        <charset val="129"/>
        <scheme val="minor"/>
      </rPr>
      <t>强</t>
    </r>
    <r>
      <rPr>
        <sz val="11"/>
        <color theme="1"/>
        <rFont val="ＭＳ Ｐゴシック"/>
        <family val="2"/>
        <scheme val="minor"/>
      </rPr>
      <t>化
50%
att*(1+0.03*(1+0.5))</t>
    </r>
    <phoneticPr fontId="1"/>
  </si>
  <si>
    <t>经验guai +5%</t>
    <phoneticPr fontId="1"/>
  </si>
  <si>
    <t>金币guai +5%</t>
    <phoneticPr fontId="1"/>
  </si>
  <si>
    <t>三属性装3%</t>
    <phoneticPr fontId="1"/>
  </si>
  <si>
    <t>三属性装1%</t>
    <phoneticPr fontId="1"/>
  </si>
  <si>
    <t>经验guai +2%</t>
    <phoneticPr fontId="1"/>
  </si>
  <si>
    <t>金币guai +2%</t>
    <phoneticPr fontId="1"/>
  </si>
  <si>
    <t>100血</t>
    <phoneticPr fontId="1"/>
  </si>
  <si>
    <r>
      <t>无</t>
    </r>
    <r>
      <rPr>
        <sz val="11"/>
        <color theme="1"/>
        <rFont val="ＭＳ Ｐゴシック"/>
        <family val="3"/>
        <charset val="134"/>
        <scheme val="minor"/>
      </rPr>
      <t>敌</t>
    </r>
    <r>
      <rPr>
        <sz val="11"/>
        <color theme="1"/>
        <rFont val="ＭＳ Ｐゴシック"/>
        <family val="2"/>
        <scheme val="minor"/>
      </rPr>
      <t>穿透
每步消耗5</t>
    </r>
    <phoneticPr fontId="1"/>
  </si>
  <si>
    <r>
      <t>无</t>
    </r>
    <r>
      <rPr>
        <sz val="11"/>
        <color theme="1"/>
        <rFont val="ＭＳ Ｐゴシック"/>
        <family val="3"/>
        <charset val="134"/>
        <scheme val="minor"/>
      </rPr>
      <t>敌</t>
    </r>
    <r>
      <rPr>
        <sz val="11"/>
        <color theme="1"/>
        <rFont val="ＭＳ Ｐゴシック"/>
        <family val="2"/>
        <scheme val="minor"/>
      </rPr>
      <t>穿透
每步消耗
10</t>
    </r>
    <phoneticPr fontId="1"/>
  </si>
  <si>
    <t>0.1.2.3.4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</si>
</sst>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34"/>
      <scheme val="minor"/>
    </font>
    <font>
      <sz val="11"/>
      <color theme="0" tint="-4.9989318521683403E-2"/>
      <name val="ＭＳ Ｐゴシック"/>
      <family val="2"/>
      <scheme val="minor"/>
    </font>
    <font>
      <sz val="11"/>
      <color theme="0" tint="-4.9989318521683403E-2"/>
      <name val="ＭＳ Ｐゴシック"/>
      <family val="3"/>
      <charset val="134"/>
      <scheme val="minor"/>
    </font>
    <font>
      <sz val="11"/>
      <color theme="0" tint="-4.9989318521683403E-2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2" fillId="0" borderId="0" xfId="0" applyNumberFormat="1" applyFont="1"/>
    <xf numFmtId="49" fontId="2" fillId="0" borderId="0" xfId="0" applyNumberFormat="1" applyFont="1" applyAlignment="1">
      <alignment wrapText="1"/>
    </xf>
    <xf numFmtId="49" fontId="2" fillId="0" borderId="0" xfId="0" applyNumberFormat="1" applyFont="1" applyAlignment="1">
      <alignment horizontal="center" vertical="center" wrapText="1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wrapText="1"/>
    </xf>
    <xf numFmtId="49" fontId="2" fillId="3" borderId="0" xfId="0" applyNumberFormat="1" applyFont="1" applyFill="1" applyAlignment="1">
      <alignment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wrapText="1"/>
    </xf>
    <xf numFmtId="49" fontId="2" fillId="4" borderId="1" xfId="0" applyNumberFormat="1" applyFont="1" applyFill="1" applyBorder="1"/>
    <xf numFmtId="0" fontId="0" fillId="2" borderId="0" xfId="0" applyFill="1"/>
    <xf numFmtId="49" fontId="2" fillId="0" borderId="2" xfId="0" applyNumberFormat="1" applyFont="1" applyBorder="1" applyAlignment="1">
      <alignment wrapText="1"/>
    </xf>
    <xf numFmtId="49" fontId="2" fillId="3" borderId="2" xfId="0" applyNumberFormat="1" applyFont="1" applyFill="1" applyBorder="1" applyAlignment="1">
      <alignment wrapText="1"/>
    </xf>
    <xf numFmtId="49" fontId="2" fillId="2" borderId="2" xfId="0" applyNumberFormat="1" applyFont="1" applyFill="1" applyBorder="1" applyAlignment="1">
      <alignment wrapText="1"/>
    </xf>
    <xf numFmtId="49" fontId="2" fillId="0" borderId="2" xfId="0" applyNumberFormat="1" applyFont="1" applyBorder="1"/>
    <xf numFmtId="49" fontId="2" fillId="0" borderId="3" xfId="0" applyNumberFormat="1" applyFont="1" applyBorder="1" applyAlignment="1">
      <alignment wrapText="1"/>
    </xf>
    <xf numFmtId="49" fontId="2" fillId="0" borderId="3" xfId="0" applyNumberFormat="1" applyFont="1" applyBorder="1"/>
    <xf numFmtId="0" fontId="5" fillId="0" borderId="0" xfId="0" applyFont="1"/>
    <xf numFmtId="0" fontId="7" fillId="0" borderId="0" xfId="0" applyFont="1"/>
    <xf numFmtId="0" fontId="4" fillId="0" borderId="0" xfId="0" applyFo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D:\softRun\apache-tomcat-8.5.37\webapps\cocos2d-html5\template/res/monster/007.png" TargetMode="External"/><Relationship Id="rId3" Type="http://schemas.openxmlformats.org/officeDocument/2006/relationships/image" Target="file:///D:\softRun\apache-tomcat-8.5.37\webapps\cocos2d-html5\template/res/monster/002.png" TargetMode="External"/><Relationship Id="rId7" Type="http://schemas.openxmlformats.org/officeDocument/2006/relationships/image" Target="file:///D:\softRun\apache-tomcat-8.5.37\webapps\cocos2d-html5\template/res/monster/006.png" TargetMode="External"/><Relationship Id="rId2" Type="http://schemas.openxmlformats.org/officeDocument/2006/relationships/image" Target="file:///D:\softRun\apache-tomcat-8.5.37\webapps\cocos2d-html5\template/res/monster/001.png" TargetMode="External"/><Relationship Id="rId1" Type="http://schemas.openxmlformats.org/officeDocument/2006/relationships/image" Target="file:///C:\pleiades4.5\tomcat\8\webapps\cocos2d-html5\template/res/monster/901.png" TargetMode="External"/><Relationship Id="rId6" Type="http://schemas.openxmlformats.org/officeDocument/2006/relationships/image" Target="file:///D:\softRun\apache-tomcat-8.5.37\webapps\cocos2d-html5\template/res/monster/005.png" TargetMode="External"/><Relationship Id="rId11" Type="http://schemas.openxmlformats.org/officeDocument/2006/relationships/image" Target="file:///D:\softRun\apache-tomcat-8.5.37\webapps\cocos2d-html5\template/res/monster/902.png" TargetMode="External"/><Relationship Id="rId5" Type="http://schemas.openxmlformats.org/officeDocument/2006/relationships/image" Target="file:///D:\softRun\apache-tomcat-8.5.37\webapps\cocos2d-html5\template/res/monster/004.png" TargetMode="External"/><Relationship Id="rId10" Type="http://schemas.openxmlformats.org/officeDocument/2006/relationships/image" Target="file:///D:\softRun\apache-tomcat-8.5.37\webapps\cocos2d-html5\template/res/monster/901.png" TargetMode="External"/><Relationship Id="rId4" Type="http://schemas.openxmlformats.org/officeDocument/2006/relationships/image" Target="file:///D:\softRun\apache-tomcat-8.5.37\webapps\cocos2d-html5\template/res/monster/003.png" TargetMode="External"/><Relationship Id="rId9" Type="http://schemas.openxmlformats.org/officeDocument/2006/relationships/image" Target="file:///D:\softRun\apache-tomcat-8.5.37\webapps\cocos2d-html5\template/res/monster/008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0</xdr:row>
          <xdr:rowOff>66675</xdr:rowOff>
        </xdr:from>
        <xdr:to>
          <xdr:col>4</xdr:col>
          <xdr:colOff>581025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161925</xdr:rowOff>
        </xdr:from>
        <xdr:to>
          <xdr:col>4</xdr:col>
          <xdr:colOff>571500</xdr:colOff>
          <xdr:row>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monster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9</xdr:row>
          <xdr:rowOff>28575</xdr:rowOff>
        </xdr:from>
        <xdr:to>
          <xdr:col>4</xdr:col>
          <xdr:colOff>552450</xdr:colOff>
          <xdr:row>10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wuqi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13</xdr:row>
          <xdr:rowOff>142875</xdr:rowOff>
        </xdr:from>
        <xdr:to>
          <xdr:col>4</xdr:col>
          <xdr:colOff>590550</xdr:colOff>
          <xdr:row>15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yaoshui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18</xdr:row>
          <xdr:rowOff>142875</xdr:rowOff>
        </xdr:from>
        <xdr:to>
          <xdr:col>4</xdr:col>
          <xdr:colOff>590550</xdr:colOff>
          <xdr:row>20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9525</xdr:rowOff>
        </xdr:from>
        <xdr:to>
          <xdr:col>7</xdr:col>
          <xdr:colOff>209550</xdr:colOff>
          <xdr:row>5</xdr:row>
          <xdr:rowOff>76200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readImg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0</xdr:rowOff>
    </xdr:from>
    <xdr:to>
      <xdr:col>12</xdr:col>
      <xdr:colOff>190527</xdr:colOff>
      <xdr:row>10</xdr:row>
      <xdr:rowOff>190527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505950" y="5181600"/>
          <a:ext cx="190527" cy="190527"/>
        </a:xfrm>
        <a:prstGeom prst="rect">
          <a:avLst/>
        </a:prstGeom>
      </xdr:spPr>
    </xdr:pic>
    <xdr:clientData/>
  </xdr:twoCellAnchor>
  <xdr:twoCellAnchor editAs="oneCell">
    <xdr:from>
      <xdr:col>11</xdr:col>
      <xdr:colOff>601980</xdr:colOff>
      <xdr:row>1</xdr:row>
      <xdr:rowOff>121920</xdr:rowOff>
    </xdr:from>
    <xdr:to>
      <xdr:col>12</xdr:col>
      <xdr:colOff>594360</xdr:colOff>
      <xdr:row>2</xdr:row>
      <xdr:rowOff>579120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26780" y="27432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</xdr:row>
      <xdr:rowOff>601980</xdr:rowOff>
    </xdr:from>
    <xdr:to>
      <xdr:col>12</xdr:col>
      <xdr:colOff>609600</xdr:colOff>
      <xdr:row>3</xdr:row>
      <xdr:rowOff>601980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42020" y="90678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609600</xdr:colOff>
      <xdr:row>5</xdr:row>
      <xdr:rowOff>0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8542020" y="15240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609600</xdr:colOff>
      <xdr:row>6</xdr:row>
      <xdr:rowOff>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8542020" y="21336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609600</xdr:colOff>
      <xdr:row>7</xdr:row>
      <xdr:rowOff>0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8542020" y="27432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609600</xdr:colOff>
      <xdr:row>8</xdr:row>
      <xdr:rowOff>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8542020" y="33528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609600</xdr:colOff>
      <xdr:row>9</xdr:row>
      <xdr:rowOff>0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542020" y="39624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609600</xdr:colOff>
      <xdr:row>10</xdr:row>
      <xdr:rowOff>0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542020" y="45720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525780</xdr:colOff>
      <xdr:row>11</xdr:row>
      <xdr:rowOff>11115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542020" y="5181600"/>
          <a:ext cx="525780" cy="62071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586740</xdr:colOff>
      <xdr:row>11</xdr:row>
      <xdr:rowOff>586740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542020" y="5791200"/>
          <a:ext cx="586740" cy="586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0"/>
  <sheetViews>
    <sheetView workbookViewId="0">
      <selection activeCell="F31" sqref="F31"/>
    </sheetView>
  </sheetViews>
  <sheetFormatPr defaultRowHeight="13.5" x14ac:dyDescent="0.15"/>
  <cols>
    <col min="1" max="1" width="13" customWidth="1"/>
  </cols>
  <sheetData>
    <row r="1" spans="1:2" x14ac:dyDescent="0.15">
      <c r="A1" t="s">
        <v>15</v>
      </c>
      <c r="B1" t="s">
        <v>34</v>
      </c>
    </row>
    <row r="5" spans="1:2" x14ac:dyDescent="0.15">
      <c r="A5" t="s">
        <v>33</v>
      </c>
      <c r="B5" t="s">
        <v>35</v>
      </c>
    </row>
    <row r="10" spans="1:2" x14ac:dyDescent="0.15">
      <c r="A10" t="s">
        <v>47</v>
      </c>
      <c r="B10" t="s">
        <v>48</v>
      </c>
    </row>
    <row r="15" spans="1:2" x14ac:dyDescent="0.15">
      <c r="A15" t="s">
        <v>80</v>
      </c>
      <c r="B15" t="s">
        <v>81</v>
      </c>
    </row>
    <row r="20" spans="1:2" x14ac:dyDescent="0.15">
      <c r="A20" t="s">
        <v>82</v>
      </c>
      <c r="B20" t="s">
        <v>83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createMapJson">
                <anchor moveWithCells="1" sizeWithCells="1">
                  <from>
                    <xdr:col>3</xdr:col>
                    <xdr:colOff>247650</xdr:colOff>
                    <xdr:row>0</xdr:row>
                    <xdr:rowOff>66675</xdr:rowOff>
                  </from>
                  <to>
                    <xdr:col>4</xdr:col>
                    <xdr:colOff>581025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MonsterJson">
                <anchor moveWithCells="1" sizeWithCells="1">
                  <from>
                    <xdr:col>3</xdr:col>
                    <xdr:colOff>238125</xdr:colOff>
                    <xdr:row>3</xdr:row>
                    <xdr:rowOff>161925</xdr:rowOff>
                  </from>
                  <to>
                    <xdr:col>4</xdr:col>
                    <xdr:colOff>571500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WuqiJson">
                <anchor moveWithCells="1" sizeWithCells="1">
                  <from>
                    <xdr:col>3</xdr:col>
                    <xdr:colOff>266700</xdr:colOff>
                    <xdr:row>9</xdr:row>
                    <xdr:rowOff>28575</xdr:rowOff>
                  </from>
                  <to>
                    <xdr:col>4</xdr:col>
                    <xdr:colOff>552450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reateYaoshuiJson">
                <anchor moveWithCells="1" sizeWithCells="1">
                  <from>
                    <xdr:col>3</xdr:col>
                    <xdr:colOff>333375</xdr:colOff>
                    <xdr:row>13</xdr:row>
                    <xdr:rowOff>142875</xdr:rowOff>
                  </from>
                  <to>
                    <xdr:col>4</xdr:col>
                    <xdr:colOff>590550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reateGroupJson">
                <anchor moveWithCells="1" sizeWithCells="1">
                  <from>
                    <xdr:col>3</xdr:col>
                    <xdr:colOff>333375</xdr:colOff>
                    <xdr:row>18</xdr:row>
                    <xdr:rowOff>142875</xdr:rowOff>
                  </from>
                  <to>
                    <xdr:col>4</xdr:col>
                    <xdr:colOff>590550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adMonsterPng1">
                <anchor moveWithCells="1" sizeWithCells="1">
                  <from>
                    <xdr:col>6</xdr:col>
                    <xdr:colOff>28575</xdr:colOff>
                    <xdr:row>4</xdr:row>
                    <xdr:rowOff>9525</xdr:rowOff>
                  </from>
                  <to>
                    <xdr:col>7</xdr:col>
                    <xdr:colOff>209550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2"/>
  <sheetViews>
    <sheetView zoomScaleNormal="100" workbookViewId="0">
      <pane ySplit="2" topLeftCell="A3" activePane="bottomLeft" state="frozen"/>
      <selection pane="bottomLeft" activeCell="F3" sqref="F3"/>
    </sheetView>
  </sheetViews>
  <sheetFormatPr defaultColWidth="9" defaultRowHeight="12" x14ac:dyDescent="0.15"/>
  <cols>
    <col min="1" max="1" width="7.5" style="1" bestFit="1" customWidth="1"/>
    <col min="2" max="2" width="7.625" style="1" bestFit="1" customWidth="1"/>
    <col min="3" max="4" width="12.25" style="1" customWidth="1"/>
    <col min="5" max="5" width="7.125" style="1" customWidth="1"/>
    <col min="6" max="6" width="12.5" style="1" customWidth="1"/>
    <col min="7" max="8" width="9.875" style="4" customWidth="1"/>
    <col min="9" max="9" width="13.25" style="1" customWidth="1"/>
    <col min="10" max="10" width="13.5" style="1" customWidth="1"/>
    <col min="11" max="17" width="9.875" style="1" customWidth="1"/>
    <col min="18" max="18" width="16.75" style="1" bestFit="1" customWidth="1"/>
    <col min="19" max="16384" width="9" style="1"/>
  </cols>
  <sheetData>
    <row r="1" spans="1:23" s="2" customFormat="1" ht="36" x14ac:dyDescent="0.15">
      <c r="A1" s="7" t="s">
        <v>3</v>
      </c>
      <c r="B1" s="7" t="s">
        <v>4</v>
      </c>
      <c r="C1" s="7" t="s">
        <v>128</v>
      </c>
      <c r="D1" s="7" t="s">
        <v>5</v>
      </c>
      <c r="E1" s="7" t="s">
        <v>17</v>
      </c>
      <c r="F1" s="7" t="s">
        <v>6</v>
      </c>
      <c r="G1" s="7" t="s">
        <v>8</v>
      </c>
      <c r="H1" s="7" t="s">
        <v>9</v>
      </c>
      <c r="I1" s="7" t="s">
        <v>7</v>
      </c>
      <c r="J1" s="7" t="s">
        <v>10</v>
      </c>
      <c r="K1" s="7" t="s">
        <v>115</v>
      </c>
      <c r="L1" s="7" t="s">
        <v>16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11</v>
      </c>
      <c r="S1" s="8" t="s">
        <v>108</v>
      </c>
      <c r="T1" s="8" t="s">
        <v>109</v>
      </c>
      <c r="U1" s="8" t="s">
        <v>110</v>
      </c>
      <c r="V1" s="8" t="s">
        <v>113</v>
      </c>
      <c r="W1" s="8" t="s">
        <v>114</v>
      </c>
    </row>
    <row r="2" spans="1:23" x14ac:dyDescent="0.15">
      <c r="A2" s="9" t="s">
        <v>0</v>
      </c>
      <c r="B2" s="9" t="s">
        <v>12</v>
      </c>
      <c r="C2" s="9" t="s">
        <v>116</v>
      </c>
      <c r="D2" s="9" t="s">
        <v>1</v>
      </c>
      <c r="E2" s="9" t="s">
        <v>13</v>
      </c>
      <c r="F2" s="9" t="s">
        <v>13</v>
      </c>
      <c r="G2" s="9" t="s">
        <v>13</v>
      </c>
      <c r="H2" s="9" t="s">
        <v>13</v>
      </c>
      <c r="I2" s="9" t="s">
        <v>13</v>
      </c>
      <c r="J2" s="9" t="s">
        <v>13</v>
      </c>
      <c r="K2" s="9" t="s">
        <v>12</v>
      </c>
      <c r="L2" s="9" t="s">
        <v>13</v>
      </c>
      <c r="M2" s="9" t="s">
        <v>13</v>
      </c>
      <c r="N2" s="9" t="s">
        <v>13</v>
      </c>
      <c r="O2" s="9" t="s">
        <v>13</v>
      </c>
      <c r="P2" s="9" t="s">
        <v>13</v>
      </c>
      <c r="Q2" s="9" t="s">
        <v>13</v>
      </c>
      <c r="R2" s="9" t="s">
        <v>13</v>
      </c>
      <c r="S2" s="9" t="s">
        <v>12</v>
      </c>
      <c r="T2" s="9" t="s">
        <v>12</v>
      </c>
      <c r="U2" s="9" t="s">
        <v>12</v>
      </c>
      <c r="V2" s="9" t="s">
        <v>12</v>
      </c>
      <c r="W2" s="9" t="s">
        <v>12</v>
      </c>
    </row>
    <row r="3" spans="1:23" ht="96" x14ac:dyDescent="0.15">
      <c r="A3" s="2" t="s">
        <v>32</v>
      </c>
      <c r="B3" s="2" t="s">
        <v>14</v>
      </c>
      <c r="C3" s="6" t="s">
        <v>45</v>
      </c>
      <c r="D3" s="6" t="s">
        <v>67</v>
      </c>
      <c r="E3" s="2" t="s">
        <v>27</v>
      </c>
      <c r="F3" s="2" t="s">
        <v>28</v>
      </c>
      <c r="G3" s="5" t="s">
        <v>121</v>
      </c>
      <c r="H3" s="5" t="s">
        <v>122</v>
      </c>
      <c r="I3" s="2" t="s">
        <v>29</v>
      </c>
      <c r="J3" s="1" t="s">
        <v>30</v>
      </c>
      <c r="K3" s="1" t="s">
        <v>2</v>
      </c>
      <c r="L3" s="2" t="s">
        <v>24</v>
      </c>
      <c r="M3" s="2" t="s">
        <v>136</v>
      </c>
      <c r="N3" s="2" t="s">
        <v>150</v>
      </c>
      <c r="O3" s="2" t="s">
        <v>148</v>
      </c>
      <c r="P3" s="2" t="s">
        <v>26</v>
      </c>
      <c r="Q3" s="2" t="s">
        <v>120</v>
      </c>
      <c r="R3" s="2" t="s">
        <v>67</v>
      </c>
      <c r="S3" s="1" t="s">
        <v>107</v>
      </c>
      <c r="T3" s="1" t="s">
        <v>124</v>
      </c>
      <c r="U3" s="1" t="s">
        <v>125</v>
      </c>
      <c r="V3" s="1" t="s">
        <v>111</v>
      </c>
      <c r="W3" s="1" t="s">
        <v>112</v>
      </c>
    </row>
    <row r="4" spans="1:23" ht="96" x14ac:dyDescent="0.15">
      <c r="A4" s="2" t="s">
        <v>31</v>
      </c>
      <c r="B4" s="2" t="s">
        <v>14</v>
      </c>
      <c r="C4" s="6" t="s">
        <v>45</v>
      </c>
      <c r="D4" s="6" t="s">
        <v>67</v>
      </c>
      <c r="E4" s="2" t="s">
        <v>27</v>
      </c>
      <c r="F4" s="2" t="s">
        <v>28</v>
      </c>
      <c r="G4" s="5" t="s">
        <v>121</v>
      </c>
      <c r="H4" s="5" t="s">
        <v>122</v>
      </c>
      <c r="I4" s="2" t="s">
        <v>29</v>
      </c>
      <c r="J4" s="1" t="s">
        <v>30</v>
      </c>
      <c r="K4" s="1" t="s">
        <v>2</v>
      </c>
      <c r="L4" s="2" t="s">
        <v>24</v>
      </c>
      <c r="M4" s="2" t="s">
        <v>136</v>
      </c>
      <c r="N4" s="2" t="s">
        <v>150</v>
      </c>
      <c r="O4" s="2" t="s">
        <v>148</v>
      </c>
      <c r="P4" s="2" t="s">
        <v>26</v>
      </c>
      <c r="Q4" s="2" t="s">
        <v>120</v>
      </c>
      <c r="R4" s="2" t="s">
        <v>67</v>
      </c>
      <c r="S4" s="1" t="s">
        <v>107</v>
      </c>
      <c r="T4" s="1" t="s">
        <v>124</v>
      </c>
      <c r="U4" s="1" t="s">
        <v>125</v>
      </c>
      <c r="V4" s="1" t="s">
        <v>111</v>
      </c>
      <c r="W4" s="1" t="s">
        <v>112</v>
      </c>
    </row>
    <row r="5" spans="1:23" ht="96" x14ac:dyDescent="0.15">
      <c r="A5" s="2" t="s">
        <v>117</v>
      </c>
      <c r="B5" s="2" t="s">
        <v>14</v>
      </c>
      <c r="C5" s="6" t="s">
        <v>45</v>
      </c>
      <c r="D5" s="6" t="s">
        <v>67</v>
      </c>
      <c r="E5" s="2" t="s">
        <v>27</v>
      </c>
      <c r="F5" s="2" t="s">
        <v>137</v>
      </c>
      <c r="G5" s="5" t="s">
        <v>121</v>
      </c>
      <c r="H5" s="5" t="s">
        <v>122</v>
      </c>
      <c r="I5" s="2" t="s">
        <v>29</v>
      </c>
      <c r="J5" s="1" t="s">
        <v>30</v>
      </c>
      <c r="K5" s="1" t="s">
        <v>2</v>
      </c>
      <c r="L5" s="2" t="s">
        <v>24</v>
      </c>
      <c r="M5" s="2" t="s">
        <v>136</v>
      </c>
      <c r="N5" s="2" t="s">
        <v>150</v>
      </c>
      <c r="O5" s="2" t="s">
        <v>148</v>
      </c>
      <c r="P5" s="2" t="s">
        <v>26</v>
      </c>
      <c r="Q5" s="2" t="s">
        <v>120</v>
      </c>
      <c r="R5" s="2" t="s">
        <v>67</v>
      </c>
      <c r="S5" s="1" t="s">
        <v>107</v>
      </c>
      <c r="T5" s="1" t="s">
        <v>124</v>
      </c>
      <c r="U5" s="1" t="s">
        <v>125</v>
      </c>
      <c r="V5" s="1" t="s">
        <v>111</v>
      </c>
      <c r="W5" s="1" t="s">
        <v>112</v>
      </c>
    </row>
    <row r="6" spans="1:23" ht="96" x14ac:dyDescent="0.15">
      <c r="A6" s="2" t="s">
        <v>118</v>
      </c>
      <c r="B6" s="2" t="s">
        <v>14</v>
      </c>
      <c r="C6" s="6" t="s">
        <v>45</v>
      </c>
      <c r="D6" s="6" t="s">
        <v>67</v>
      </c>
      <c r="E6" s="2" t="s">
        <v>27</v>
      </c>
      <c r="F6" s="2" t="s">
        <v>138</v>
      </c>
      <c r="G6" s="5" t="s">
        <v>121</v>
      </c>
      <c r="H6" s="5" t="s">
        <v>122</v>
      </c>
      <c r="I6" s="2" t="s">
        <v>29</v>
      </c>
      <c r="J6" s="1" t="s">
        <v>30</v>
      </c>
      <c r="K6" s="1" t="s">
        <v>2</v>
      </c>
      <c r="L6" s="2" t="s">
        <v>24</v>
      </c>
      <c r="M6" s="2" t="s">
        <v>25</v>
      </c>
      <c r="N6" s="2" t="s">
        <v>150</v>
      </c>
      <c r="O6" s="2" t="s">
        <v>148</v>
      </c>
      <c r="P6" s="2" t="s">
        <v>26</v>
      </c>
      <c r="Q6" s="2" t="s">
        <v>120</v>
      </c>
      <c r="R6" s="2" t="s">
        <v>67</v>
      </c>
      <c r="S6" s="1" t="s">
        <v>107</v>
      </c>
      <c r="T6" s="1" t="s">
        <v>124</v>
      </c>
      <c r="U6" s="1" t="s">
        <v>125</v>
      </c>
      <c r="V6" s="1" t="s">
        <v>111</v>
      </c>
      <c r="W6" s="1" t="s">
        <v>112</v>
      </c>
    </row>
    <row r="7" spans="1:23" ht="96.75" thickBot="1" x14ac:dyDescent="0.2">
      <c r="A7" s="11" t="s">
        <v>119</v>
      </c>
      <c r="B7" s="11" t="s">
        <v>14</v>
      </c>
      <c r="C7" s="12" t="s">
        <v>32</v>
      </c>
      <c r="D7" s="12" t="s">
        <v>23</v>
      </c>
      <c r="E7" s="11" t="s">
        <v>27</v>
      </c>
      <c r="F7" s="11" t="s">
        <v>138</v>
      </c>
      <c r="G7" s="13" t="s">
        <v>121</v>
      </c>
      <c r="H7" s="13" t="s">
        <v>122</v>
      </c>
      <c r="I7" s="11" t="s">
        <v>29</v>
      </c>
      <c r="J7" s="14" t="s">
        <v>30</v>
      </c>
      <c r="K7" s="14" t="s">
        <v>2</v>
      </c>
      <c r="L7" s="11" t="s">
        <v>24</v>
      </c>
      <c r="M7" s="11" t="s">
        <v>25</v>
      </c>
      <c r="N7" s="2" t="s">
        <v>151</v>
      </c>
      <c r="O7" s="2" t="s">
        <v>149</v>
      </c>
      <c r="P7" s="11" t="s">
        <v>26</v>
      </c>
      <c r="Q7" s="11" t="s">
        <v>120</v>
      </c>
      <c r="R7" s="11" t="s">
        <v>67</v>
      </c>
      <c r="S7" s="14" t="s">
        <v>107</v>
      </c>
      <c r="T7" s="14" t="s">
        <v>124</v>
      </c>
      <c r="U7" s="14" t="s">
        <v>125</v>
      </c>
      <c r="V7" s="14" t="s">
        <v>111</v>
      </c>
      <c r="W7" s="14" t="s">
        <v>112</v>
      </c>
    </row>
    <row r="8" spans="1:23" ht="96.75" thickTop="1" x14ac:dyDescent="0.15">
      <c r="A8" s="2" t="s">
        <v>139</v>
      </c>
      <c r="B8" s="2" t="s">
        <v>14</v>
      </c>
      <c r="C8" s="6" t="s">
        <v>45</v>
      </c>
      <c r="D8" s="6" t="s">
        <v>67</v>
      </c>
      <c r="E8" s="2" t="s">
        <v>146</v>
      </c>
      <c r="F8" s="2" t="s">
        <v>143</v>
      </c>
      <c r="G8" s="5" t="s">
        <v>121</v>
      </c>
      <c r="H8" s="5" t="s">
        <v>122</v>
      </c>
      <c r="I8" s="2" t="s">
        <v>147</v>
      </c>
      <c r="J8" s="1" t="s">
        <v>30</v>
      </c>
      <c r="K8" s="1" t="s">
        <v>2</v>
      </c>
      <c r="L8" s="2" t="s">
        <v>24</v>
      </c>
      <c r="M8" s="2" t="s">
        <v>136</v>
      </c>
      <c r="N8" s="2" t="s">
        <v>152</v>
      </c>
      <c r="O8" s="2" t="s">
        <v>148</v>
      </c>
      <c r="P8" s="2" t="s">
        <v>26</v>
      </c>
      <c r="Q8" s="2" t="s">
        <v>120</v>
      </c>
      <c r="R8" s="2" t="s">
        <v>67</v>
      </c>
      <c r="S8" s="1" t="s">
        <v>107</v>
      </c>
      <c r="T8" s="1" t="s">
        <v>117</v>
      </c>
      <c r="U8" s="1" t="s">
        <v>125</v>
      </c>
      <c r="V8" s="1" t="s">
        <v>46</v>
      </c>
      <c r="W8" s="1" t="s">
        <v>112</v>
      </c>
    </row>
    <row r="9" spans="1:23" ht="96" x14ac:dyDescent="0.15">
      <c r="A9" s="2" t="s">
        <v>62</v>
      </c>
      <c r="B9" s="2" t="s">
        <v>14</v>
      </c>
      <c r="C9" s="6" t="s">
        <v>45</v>
      </c>
      <c r="D9" s="6" t="s">
        <v>67</v>
      </c>
      <c r="E9" s="2" t="s">
        <v>146</v>
      </c>
      <c r="F9" s="2" t="s">
        <v>143</v>
      </c>
      <c r="G9" s="5" t="s">
        <v>121</v>
      </c>
      <c r="H9" s="5" t="s">
        <v>122</v>
      </c>
      <c r="I9" s="2" t="s">
        <v>147</v>
      </c>
      <c r="J9" s="1" t="s">
        <v>30</v>
      </c>
      <c r="K9" s="1" t="s">
        <v>2</v>
      </c>
      <c r="L9" s="2" t="s">
        <v>24</v>
      </c>
      <c r="M9" s="2" t="s">
        <v>136</v>
      </c>
      <c r="N9" s="2" t="s">
        <v>152</v>
      </c>
      <c r="O9" s="2" t="s">
        <v>148</v>
      </c>
      <c r="P9" s="2" t="s">
        <v>26</v>
      </c>
      <c r="Q9" s="2" t="s">
        <v>120</v>
      </c>
      <c r="R9" s="2" t="s">
        <v>67</v>
      </c>
      <c r="S9" s="1" t="s">
        <v>107</v>
      </c>
      <c r="T9" s="1" t="s">
        <v>117</v>
      </c>
      <c r="U9" s="1" t="s">
        <v>125</v>
      </c>
      <c r="V9" s="1" t="s">
        <v>46</v>
      </c>
      <c r="W9" s="1" t="s">
        <v>112</v>
      </c>
    </row>
    <row r="10" spans="1:23" ht="96" x14ac:dyDescent="0.15">
      <c r="A10" s="2" t="s">
        <v>140</v>
      </c>
      <c r="B10" s="2" t="s">
        <v>14</v>
      </c>
      <c r="C10" s="6" t="s">
        <v>45</v>
      </c>
      <c r="D10" s="6" t="s">
        <v>67</v>
      </c>
      <c r="E10" s="2" t="s">
        <v>146</v>
      </c>
      <c r="F10" s="2" t="s">
        <v>144</v>
      </c>
      <c r="G10" s="5" t="s">
        <v>121</v>
      </c>
      <c r="H10" s="5" t="s">
        <v>122</v>
      </c>
      <c r="I10" s="2" t="s">
        <v>147</v>
      </c>
      <c r="J10" s="1" t="s">
        <v>30</v>
      </c>
      <c r="K10" s="1" t="s">
        <v>2</v>
      </c>
      <c r="L10" s="2" t="s">
        <v>24</v>
      </c>
      <c r="M10" s="2" t="s">
        <v>136</v>
      </c>
      <c r="N10" s="2" t="s">
        <v>152</v>
      </c>
      <c r="O10" s="2" t="s">
        <v>148</v>
      </c>
      <c r="P10" s="2" t="s">
        <v>26</v>
      </c>
      <c r="Q10" s="2" t="s">
        <v>120</v>
      </c>
      <c r="R10" s="2" t="s">
        <v>67</v>
      </c>
      <c r="S10" s="1" t="s">
        <v>107</v>
      </c>
      <c r="T10" s="1" t="s">
        <v>117</v>
      </c>
      <c r="U10" s="1" t="s">
        <v>125</v>
      </c>
      <c r="V10" s="1" t="s">
        <v>46</v>
      </c>
      <c r="W10" s="1" t="s">
        <v>112</v>
      </c>
    </row>
    <row r="11" spans="1:23" ht="96" x14ac:dyDescent="0.15">
      <c r="A11" s="2" t="s">
        <v>141</v>
      </c>
      <c r="B11" s="2" t="s">
        <v>14</v>
      </c>
      <c r="C11" s="6" t="s">
        <v>45</v>
      </c>
      <c r="D11" s="6" t="s">
        <v>67</v>
      </c>
      <c r="E11" s="2" t="s">
        <v>146</v>
      </c>
      <c r="F11" s="2" t="s">
        <v>145</v>
      </c>
      <c r="G11" s="5" t="s">
        <v>121</v>
      </c>
      <c r="H11" s="5" t="s">
        <v>122</v>
      </c>
      <c r="I11" s="2" t="s">
        <v>147</v>
      </c>
      <c r="J11" s="1" t="s">
        <v>30</v>
      </c>
      <c r="K11" s="1" t="s">
        <v>2</v>
      </c>
      <c r="L11" s="2" t="s">
        <v>24</v>
      </c>
      <c r="M11" s="2" t="s">
        <v>25</v>
      </c>
      <c r="N11" s="2" t="s">
        <v>152</v>
      </c>
      <c r="O11" s="2" t="s">
        <v>148</v>
      </c>
      <c r="P11" s="2" t="s">
        <v>26</v>
      </c>
      <c r="Q11" s="2" t="s">
        <v>120</v>
      </c>
      <c r="R11" s="2" t="s">
        <v>67</v>
      </c>
      <c r="S11" s="1" t="s">
        <v>107</v>
      </c>
      <c r="T11" s="1" t="s">
        <v>117</v>
      </c>
      <c r="U11" s="1" t="s">
        <v>125</v>
      </c>
      <c r="V11" s="1" t="s">
        <v>46</v>
      </c>
      <c r="W11" s="1" t="s">
        <v>112</v>
      </c>
    </row>
    <row r="12" spans="1:23" ht="96" x14ac:dyDescent="0.15">
      <c r="A12" s="2" t="s">
        <v>142</v>
      </c>
      <c r="B12" s="2" t="s">
        <v>14</v>
      </c>
      <c r="C12" s="6" t="s">
        <v>32</v>
      </c>
      <c r="D12" s="6" t="s">
        <v>23</v>
      </c>
      <c r="E12" s="2" t="s">
        <v>146</v>
      </c>
      <c r="F12" s="2" t="s">
        <v>145</v>
      </c>
      <c r="G12" s="5" t="s">
        <v>121</v>
      </c>
      <c r="H12" s="5" t="s">
        <v>122</v>
      </c>
      <c r="I12" s="2" t="s">
        <v>147</v>
      </c>
      <c r="J12" s="1" t="s">
        <v>30</v>
      </c>
      <c r="K12" s="1" t="s">
        <v>2</v>
      </c>
      <c r="L12" s="2" t="s">
        <v>24</v>
      </c>
      <c r="M12" s="2" t="s">
        <v>25</v>
      </c>
      <c r="N12" s="2" t="s">
        <v>153</v>
      </c>
      <c r="O12" s="2" t="s">
        <v>149</v>
      </c>
      <c r="P12" s="2" t="s">
        <v>26</v>
      </c>
      <c r="Q12" s="2" t="s">
        <v>120</v>
      </c>
      <c r="R12" s="2" t="s">
        <v>67</v>
      </c>
      <c r="S12" s="1" t="s">
        <v>107</v>
      </c>
      <c r="T12" s="1" t="s">
        <v>117</v>
      </c>
      <c r="U12" s="1" t="s">
        <v>125</v>
      </c>
      <c r="V12" s="1" t="s">
        <v>46</v>
      </c>
      <c r="W12" s="1" t="s">
        <v>112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"/>
  <sheetViews>
    <sheetView zoomScaleNormal="100" workbookViewId="0">
      <pane ySplit="2" topLeftCell="A9" activePane="bottomLeft" state="frozen"/>
      <selection pane="bottomLeft" activeCell="O11" sqref="O11"/>
    </sheetView>
  </sheetViews>
  <sheetFormatPr defaultColWidth="9" defaultRowHeight="12" x14ac:dyDescent="0.15"/>
  <cols>
    <col min="1" max="1" width="7.5" style="1" bestFit="1" customWidth="1"/>
    <col min="2" max="2" width="11.875" style="1" customWidth="1"/>
    <col min="3" max="3" width="12.25" style="1" customWidth="1"/>
    <col min="4" max="4" width="7.125" style="1" customWidth="1"/>
    <col min="5" max="5" width="12.5" style="1" customWidth="1"/>
    <col min="6" max="7" width="9.875" style="1" customWidth="1"/>
    <col min="8" max="8" width="13.25" style="1" customWidth="1"/>
    <col min="9" max="9" width="13.5" style="1" customWidth="1"/>
    <col min="10" max="16384" width="9" style="1"/>
  </cols>
  <sheetData>
    <row r="1" spans="1:9" s="2" customFormat="1" x14ac:dyDescent="0.15">
      <c r="A1" s="3" t="s">
        <v>3</v>
      </c>
      <c r="B1" s="3" t="s">
        <v>36</v>
      </c>
      <c r="C1" s="3" t="s">
        <v>37</v>
      </c>
      <c r="D1" s="3" t="s">
        <v>38</v>
      </c>
      <c r="E1" s="3" t="s">
        <v>39</v>
      </c>
      <c r="F1" s="3" t="s">
        <v>40</v>
      </c>
      <c r="G1" s="3" t="s">
        <v>41</v>
      </c>
      <c r="H1" s="3" t="s">
        <v>42</v>
      </c>
      <c r="I1" s="3" t="s">
        <v>43</v>
      </c>
    </row>
    <row r="2" spans="1:9" x14ac:dyDescent="0.15">
      <c r="A2" s="1" t="s">
        <v>44</v>
      </c>
      <c r="B2" s="1" t="s">
        <v>169</v>
      </c>
      <c r="C2" s="1" t="s">
        <v>0</v>
      </c>
      <c r="D2" s="1" t="s">
        <v>44</v>
      </c>
      <c r="E2" s="1" t="s">
        <v>44</v>
      </c>
      <c r="F2" s="1" t="s">
        <v>13</v>
      </c>
      <c r="G2" s="1" t="s">
        <v>0</v>
      </c>
      <c r="H2" s="1" t="s">
        <v>0</v>
      </c>
      <c r="I2" s="1" t="s">
        <v>0</v>
      </c>
    </row>
    <row r="3" spans="1:9" ht="48" x14ac:dyDescent="0.15">
      <c r="A3" s="2" t="s">
        <v>236</v>
      </c>
      <c r="B3" s="2" t="s">
        <v>170</v>
      </c>
      <c r="C3" s="2" t="s">
        <v>135</v>
      </c>
      <c r="D3" s="2" t="s">
        <v>180</v>
      </c>
      <c r="E3" s="2" t="s">
        <v>180</v>
      </c>
      <c r="F3" s="2" t="s">
        <v>127</v>
      </c>
      <c r="G3" s="2" t="s">
        <v>46</v>
      </c>
      <c r="H3" s="2" t="s">
        <v>31</v>
      </c>
      <c r="I3" s="1" t="s">
        <v>46</v>
      </c>
    </row>
    <row r="4" spans="1:9" ht="48" x14ac:dyDescent="0.15">
      <c r="A4" s="2" t="s">
        <v>237</v>
      </c>
      <c r="B4" s="2" t="s">
        <v>171</v>
      </c>
      <c r="C4" s="2" t="s">
        <v>135</v>
      </c>
      <c r="D4" s="2" t="s">
        <v>181</v>
      </c>
      <c r="E4" s="2" t="s">
        <v>181</v>
      </c>
      <c r="F4" s="2" t="s">
        <v>126</v>
      </c>
      <c r="G4" s="2" t="s">
        <v>46</v>
      </c>
      <c r="H4" s="2" t="s">
        <v>32</v>
      </c>
      <c r="I4" s="1" t="s">
        <v>46</v>
      </c>
    </row>
    <row r="5" spans="1:9" ht="48" x14ac:dyDescent="0.15">
      <c r="A5" s="2" t="s">
        <v>238</v>
      </c>
      <c r="B5" s="2" t="s">
        <v>172</v>
      </c>
      <c r="C5" s="2" t="s">
        <v>135</v>
      </c>
      <c r="D5" s="2" t="s">
        <v>182</v>
      </c>
      <c r="E5" s="2" t="s">
        <v>182</v>
      </c>
      <c r="F5" s="2" t="s">
        <v>155</v>
      </c>
      <c r="G5" s="2" t="s">
        <v>55</v>
      </c>
      <c r="H5" s="2" t="s">
        <v>117</v>
      </c>
      <c r="I5" s="1" t="s">
        <v>46</v>
      </c>
    </row>
    <row r="6" spans="1:9" ht="48" x14ac:dyDescent="0.15">
      <c r="A6" s="2" t="s">
        <v>239</v>
      </c>
      <c r="B6" s="2" t="s">
        <v>173</v>
      </c>
      <c r="C6" s="2" t="s">
        <v>135</v>
      </c>
      <c r="D6" s="2" t="s">
        <v>183</v>
      </c>
      <c r="E6" s="2" t="s">
        <v>183</v>
      </c>
      <c r="F6" s="2" t="s">
        <v>157</v>
      </c>
      <c r="G6" s="2" t="s">
        <v>55</v>
      </c>
      <c r="H6" s="2" t="s">
        <v>117</v>
      </c>
      <c r="I6" s="1" t="s">
        <v>46</v>
      </c>
    </row>
    <row r="7" spans="1:9" ht="48" x14ac:dyDescent="0.15">
      <c r="A7" s="2" t="s">
        <v>240</v>
      </c>
      <c r="B7" s="2" t="s">
        <v>174</v>
      </c>
      <c r="C7" s="2" t="s">
        <v>135</v>
      </c>
      <c r="D7" s="2" t="s">
        <v>184</v>
      </c>
      <c r="E7" s="2" t="s">
        <v>184</v>
      </c>
      <c r="F7" s="2" t="s">
        <v>158</v>
      </c>
      <c r="G7" s="2" t="s">
        <v>112</v>
      </c>
      <c r="H7" s="2" t="s">
        <v>119</v>
      </c>
      <c r="I7" s="1" t="s">
        <v>156</v>
      </c>
    </row>
    <row r="8" spans="1:9" ht="48" x14ac:dyDescent="0.15">
      <c r="A8" s="2" t="s">
        <v>241</v>
      </c>
      <c r="B8" s="2" t="s">
        <v>175</v>
      </c>
      <c r="C8" s="2" t="s">
        <v>135</v>
      </c>
      <c r="D8" s="2" t="s">
        <v>185</v>
      </c>
      <c r="E8" s="2" t="s">
        <v>185</v>
      </c>
      <c r="F8" s="2" t="s">
        <v>159</v>
      </c>
      <c r="G8" s="2" t="s">
        <v>163</v>
      </c>
      <c r="H8" s="2" t="s">
        <v>119</v>
      </c>
      <c r="I8" s="1" t="s">
        <v>156</v>
      </c>
    </row>
    <row r="9" spans="1:9" ht="48" x14ac:dyDescent="0.15">
      <c r="A9" s="2" t="s">
        <v>242</v>
      </c>
      <c r="B9" s="2" t="s">
        <v>176</v>
      </c>
      <c r="C9" s="2" t="s">
        <v>125</v>
      </c>
      <c r="D9" s="2" t="s">
        <v>186</v>
      </c>
      <c r="E9" s="2" t="s">
        <v>186</v>
      </c>
      <c r="F9" s="2" t="s">
        <v>160</v>
      </c>
      <c r="G9" s="2" t="s">
        <v>164</v>
      </c>
      <c r="H9" s="2" t="s">
        <v>139</v>
      </c>
      <c r="I9" s="1" t="s">
        <v>156</v>
      </c>
    </row>
    <row r="10" spans="1:9" ht="48" x14ac:dyDescent="0.15">
      <c r="A10" s="2" t="s">
        <v>243</v>
      </c>
      <c r="B10" s="2" t="s">
        <v>177</v>
      </c>
      <c r="C10" s="2" t="s">
        <v>125</v>
      </c>
      <c r="D10" s="2" t="s">
        <v>187</v>
      </c>
      <c r="E10" s="2" t="s">
        <v>187</v>
      </c>
      <c r="F10" s="2" t="s">
        <v>161</v>
      </c>
      <c r="G10" s="2" t="s">
        <v>154</v>
      </c>
      <c r="H10" s="2" t="s">
        <v>139</v>
      </c>
      <c r="I10" s="1" t="s">
        <v>156</v>
      </c>
    </row>
    <row r="11" spans="1:9" ht="48" x14ac:dyDescent="0.15">
      <c r="A11" s="2">
        <v>901</v>
      </c>
      <c r="B11" s="2" t="s">
        <v>178</v>
      </c>
      <c r="C11" s="2" t="s">
        <v>135</v>
      </c>
      <c r="D11" s="2" t="s">
        <v>188</v>
      </c>
      <c r="E11" s="2" t="s">
        <v>188</v>
      </c>
      <c r="F11" s="2" t="s">
        <v>162</v>
      </c>
      <c r="G11" s="2" t="s">
        <v>74</v>
      </c>
      <c r="H11" s="2" t="s">
        <v>70</v>
      </c>
      <c r="I11" s="1" t="s">
        <v>74</v>
      </c>
    </row>
    <row r="12" spans="1:9" ht="48" x14ac:dyDescent="0.15">
      <c r="A12" s="2">
        <v>902</v>
      </c>
      <c r="B12" s="2" t="s">
        <v>179</v>
      </c>
      <c r="C12" s="2" t="s">
        <v>135</v>
      </c>
      <c r="D12" s="2" t="s">
        <v>189</v>
      </c>
      <c r="E12" s="2" t="s">
        <v>189</v>
      </c>
      <c r="F12" s="2" t="s">
        <v>165</v>
      </c>
      <c r="G12" s="2" t="s">
        <v>166</v>
      </c>
      <c r="H12" s="2" t="s">
        <v>167</v>
      </c>
      <c r="I12" s="1" t="s">
        <v>168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"/>
  <sheetViews>
    <sheetView zoomScaleNormal="100" workbookViewId="0">
      <pane ySplit="2" topLeftCell="A3" activePane="bottomLeft" state="frozen"/>
      <selection pane="bottomLeft" activeCell="F1" sqref="F1"/>
    </sheetView>
  </sheetViews>
  <sheetFormatPr defaultColWidth="9" defaultRowHeight="12" x14ac:dyDescent="0.15"/>
  <cols>
    <col min="1" max="1" width="10.125" style="1" customWidth="1"/>
    <col min="2" max="2" width="11.25" style="1" bestFit="1" customWidth="1"/>
    <col min="3" max="3" width="12.25" style="1" customWidth="1"/>
    <col min="4" max="4" width="9.75" style="1" customWidth="1"/>
    <col min="5" max="6" width="9.875" style="1" customWidth="1"/>
    <col min="7" max="7" width="13.25" style="1" customWidth="1"/>
    <col min="8" max="9" width="13.5" style="1" customWidth="1"/>
    <col min="10" max="16384" width="9" style="1"/>
  </cols>
  <sheetData>
    <row r="1" spans="1:9" s="2" customFormat="1" x14ac:dyDescent="0.15">
      <c r="A1" s="3" t="s">
        <v>3</v>
      </c>
      <c r="B1" s="3" t="s">
        <v>36</v>
      </c>
      <c r="C1" s="3" t="s">
        <v>37</v>
      </c>
      <c r="D1" s="3" t="s">
        <v>49</v>
      </c>
      <c r="E1" s="3" t="s">
        <v>40</v>
      </c>
      <c r="F1" s="3" t="s">
        <v>250</v>
      </c>
      <c r="G1" s="3" t="s">
        <v>51</v>
      </c>
      <c r="H1" s="3" t="s">
        <v>52</v>
      </c>
      <c r="I1" s="3" t="s">
        <v>22</v>
      </c>
    </row>
    <row r="2" spans="1:9" x14ac:dyDescent="0.15">
      <c r="A2" s="1" t="s">
        <v>44</v>
      </c>
      <c r="B2" s="1" t="s">
        <v>44</v>
      </c>
      <c r="C2" s="1" t="s">
        <v>0</v>
      </c>
      <c r="D2" s="1" t="s">
        <v>0</v>
      </c>
      <c r="E2" s="1" t="s">
        <v>13</v>
      </c>
      <c r="F2" s="1" t="s">
        <v>0</v>
      </c>
      <c r="G2" s="1" t="s">
        <v>0</v>
      </c>
      <c r="H2" s="1" t="s">
        <v>13</v>
      </c>
      <c r="I2" s="1" t="s">
        <v>13</v>
      </c>
    </row>
    <row r="3" spans="1:9" ht="48" x14ac:dyDescent="0.15">
      <c r="A3" s="2" t="s">
        <v>190</v>
      </c>
      <c r="B3" s="2" t="s">
        <v>191</v>
      </c>
      <c r="C3" s="2" t="s">
        <v>31</v>
      </c>
      <c r="D3" s="2" t="s">
        <v>53</v>
      </c>
      <c r="E3" s="2" t="s">
        <v>57</v>
      </c>
      <c r="F3" s="2" t="s">
        <v>154</v>
      </c>
      <c r="G3" s="2" t="s">
        <v>32</v>
      </c>
      <c r="H3" s="1" t="s">
        <v>67</v>
      </c>
      <c r="I3" s="1" t="s">
        <v>67</v>
      </c>
    </row>
    <row r="4" spans="1:9" ht="48" x14ac:dyDescent="0.15">
      <c r="A4" s="2" t="s">
        <v>192</v>
      </c>
      <c r="B4" s="2" t="s">
        <v>193</v>
      </c>
      <c r="C4" s="2" t="s">
        <v>58</v>
      </c>
      <c r="D4" s="2" t="s">
        <v>53</v>
      </c>
      <c r="E4" s="2" t="s">
        <v>64</v>
      </c>
      <c r="F4" s="2" t="s">
        <v>154</v>
      </c>
      <c r="G4" s="2" t="s">
        <v>32</v>
      </c>
      <c r="H4" s="1" t="s">
        <v>67</v>
      </c>
      <c r="I4" s="1" t="s">
        <v>67</v>
      </c>
    </row>
    <row r="5" spans="1:9" ht="48" x14ac:dyDescent="0.15">
      <c r="A5" s="2" t="s">
        <v>194</v>
      </c>
      <c r="B5" s="2" t="s">
        <v>195</v>
      </c>
      <c r="C5" s="2" t="s">
        <v>59</v>
      </c>
      <c r="D5" s="2" t="s">
        <v>53</v>
      </c>
      <c r="E5" s="2" t="s">
        <v>57</v>
      </c>
      <c r="F5" s="2" t="s">
        <v>154</v>
      </c>
      <c r="G5" s="2" t="s">
        <v>32</v>
      </c>
      <c r="H5" s="1" t="s">
        <v>67</v>
      </c>
      <c r="I5" s="1" t="s">
        <v>67</v>
      </c>
    </row>
    <row r="6" spans="1:9" ht="48" x14ac:dyDescent="0.15">
      <c r="A6" s="2" t="s">
        <v>196</v>
      </c>
      <c r="B6" s="2" t="s">
        <v>197</v>
      </c>
      <c r="C6" s="2" t="s">
        <v>60</v>
      </c>
      <c r="D6" s="2" t="s">
        <v>53</v>
      </c>
      <c r="E6" s="2" t="s">
        <v>65</v>
      </c>
      <c r="F6" s="2" t="s">
        <v>154</v>
      </c>
      <c r="G6" s="2" t="s">
        <v>32</v>
      </c>
      <c r="H6" s="1" t="s">
        <v>67</v>
      </c>
      <c r="I6" s="1" t="s">
        <v>67</v>
      </c>
    </row>
    <row r="7" spans="1:9" ht="48" x14ac:dyDescent="0.15">
      <c r="A7" s="2" t="s">
        <v>198</v>
      </c>
      <c r="B7" s="2" t="s">
        <v>199</v>
      </c>
      <c r="C7" s="2" t="s">
        <v>61</v>
      </c>
      <c r="D7" s="2" t="s">
        <v>53</v>
      </c>
      <c r="E7" s="2" t="s">
        <v>66</v>
      </c>
      <c r="F7" s="2" t="s">
        <v>154</v>
      </c>
      <c r="G7" s="2" t="s">
        <v>32</v>
      </c>
      <c r="H7" s="1" t="s">
        <v>67</v>
      </c>
      <c r="I7" s="1" t="s">
        <v>67</v>
      </c>
    </row>
    <row r="8" spans="1:9" ht="48.75" thickBot="1" x14ac:dyDescent="0.2">
      <c r="A8" s="2" t="s">
        <v>200</v>
      </c>
      <c r="B8" s="2" t="s">
        <v>201</v>
      </c>
      <c r="C8" s="2" t="s">
        <v>62</v>
      </c>
      <c r="D8" s="2" t="s">
        <v>53</v>
      </c>
      <c r="E8" s="2" t="s">
        <v>66</v>
      </c>
      <c r="F8" s="2" t="s">
        <v>154</v>
      </c>
      <c r="G8" s="2" t="s">
        <v>32</v>
      </c>
      <c r="H8" s="1" t="s">
        <v>67</v>
      </c>
      <c r="I8" s="1" t="s">
        <v>67</v>
      </c>
    </row>
    <row r="9" spans="1:9" ht="48.75" thickTop="1" x14ac:dyDescent="0.15">
      <c r="A9" s="15" t="s">
        <v>202</v>
      </c>
      <c r="B9" s="15" t="s">
        <v>203</v>
      </c>
      <c r="C9" s="15" t="s">
        <v>45</v>
      </c>
      <c r="D9" s="15" t="s">
        <v>53</v>
      </c>
      <c r="E9" s="15" t="s">
        <v>54</v>
      </c>
      <c r="F9" s="15" t="s">
        <v>55</v>
      </c>
      <c r="G9" s="15" t="s">
        <v>56</v>
      </c>
      <c r="H9" s="16" t="s">
        <v>67</v>
      </c>
      <c r="I9" s="16" t="s">
        <v>67</v>
      </c>
    </row>
    <row r="10" spans="1:9" ht="48" x14ac:dyDescent="0.15">
      <c r="A10" s="2" t="s">
        <v>204</v>
      </c>
      <c r="B10" s="2" t="s">
        <v>205</v>
      </c>
      <c r="C10" s="2" t="s">
        <v>32</v>
      </c>
      <c r="D10" s="2" t="s">
        <v>53</v>
      </c>
      <c r="E10" s="2" t="s">
        <v>63</v>
      </c>
      <c r="F10" s="2" t="s">
        <v>55</v>
      </c>
      <c r="G10" s="2" t="s">
        <v>56</v>
      </c>
      <c r="H10" s="1" t="s">
        <v>67</v>
      </c>
      <c r="I10" s="1" t="s">
        <v>67</v>
      </c>
    </row>
    <row r="11" spans="1:9" ht="48" x14ac:dyDescent="0.15">
      <c r="A11" s="2" t="s">
        <v>206</v>
      </c>
      <c r="B11" s="2" t="s">
        <v>191</v>
      </c>
      <c r="C11" s="2" t="s">
        <v>31</v>
      </c>
      <c r="D11" s="2" t="s">
        <v>32</v>
      </c>
      <c r="E11" s="2" t="s">
        <v>57</v>
      </c>
      <c r="F11" s="2" t="s">
        <v>55</v>
      </c>
      <c r="G11" s="2" t="s">
        <v>56</v>
      </c>
      <c r="H11" s="1" t="s">
        <v>67</v>
      </c>
      <c r="I11" s="1" t="s">
        <v>67</v>
      </c>
    </row>
    <row r="12" spans="1:9" ht="48" x14ac:dyDescent="0.15">
      <c r="A12" s="2" t="s">
        <v>207</v>
      </c>
      <c r="B12" s="2" t="s">
        <v>193</v>
      </c>
      <c r="C12" s="2" t="s">
        <v>58</v>
      </c>
      <c r="D12" s="2" t="s">
        <v>32</v>
      </c>
      <c r="E12" s="2" t="s">
        <v>64</v>
      </c>
      <c r="F12" s="2" t="s">
        <v>55</v>
      </c>
      <c r="G12" s="2" t="s">
        <v>56</v>
      </c>
      <c r="H12" s="1" t="s">
        <v>67</v>
      </c>
      <c r="I12" s="1" t="s">
        <v>67</v>
      </c>
    </row>
    <row r="13" spans="1:9" ht="48" x14ac:dyDescent="0.15">
      <c r="A13" s="2" t="s">
        <v>208</v>
      </c>
      <c r="B13" s="2" t="s">
        <v>195</v>
      </c>
      <c r="C13" s="2" t="s">
        <v>59</v>
      </c>
      <c r="D13" s="2" t="s">
        <v>32</v>
      </c>
      <c r="E13" s="2" t="s">
        <v>57</v>
      </c>
      <c r="F13" s="2" t="s">
        <v>55</v>
      </c>
      <c r="G13" s="2" t="s">
        <v>56</v>
      </c>
      <c r="H13" s="1" t="s">
        <v>67</v>
      </c>
      <c r="I13" s="1" t="s">
        <v>67</v>
      </c>
    </row>
    <row r="14" spans="1:9" ht="48" x14ac:dyDescent="0.15">
      <c r="A14" s="2" t="s">
        <v>209</v>
      </c>
      <c r="B14" s="2" t="s">
        <v>197</v>
      </c>
      <c r="C14" s="2" t="s">
        <v>60</v>
      </c>
      <c r="D14" s="2" t="s">
        <v>32</v>
      </c>
      <c r="E14" s="2" t="s">
        <v>65</v>
      </c>
      <c r="F14" s="2" t="s">
        <v>55</v>
      </c>
      <c r="G14" s="2" t="s">
        <v>56</v>
      </c>
      <c r="H14" s="1" t="s">
        <v>67</v>
      </c>
      <c r="I14" s="1" t="s">
        <v>67</v>
      </c>
    </row>
    <row r="15" spans="1:9" ht="48" x14ac:dyDescent="0.15">
      <c r="A15" s="2" t="s">
        <v>210</v>
      </c>
      <c r="B15" s="2" t="s">
        <v>199</v>
      </c>
      <c r="C15" s="2" t="s">
        <v>61</v>
      </c>
      <c r="D15" s="2" t="s">
        <v>32</v>
      </c>
      <c r="E15" s="2" t="s">
        <v>66</v>
      </c>
      <c r="F15" s="2" t="s">
        <v>55</v>
      </c>
      <c r="G15" s="2" t="s">
        <v>56</v>
      </c>
      <c r="H15" s="1" t="s">
        <v>67</v>
      </c>
      <c r="I15" s="1" t="s">
        <v>67</v>
      </c>
    </row>
    <row r="16" spans="1:9" ht="48" x14ac:dyDescent="0.15">
      <c r="A16" s="2" t="s">
        <v>211</v>
      </c>
      <c r="B16" s="2" t="s">
        <v>201</v>
      </c>
      <c r="C16" s="2" t="s">
        <v>62</v>
      </c>
      <c r="D16" s="2" t="s">
        <v>32</v>
      </c>
      <c r="E16" s="2" t="s">
        <v>66</v>
      </c>
      <c r="F16" s="2" t="s">
        <v>55</v>
      </c>
      <c r="G16" s="2" t="s">
        <v>56</v>
      </c>
      <c r="H16" s="1" t="s">
        <v>67</v>
      </c>
      <c r="I16" s="1" t="s">
        <v>67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4"/>
  <sheetViews>
    <sheetView zoomScaleNormal="100" workbookViewId="0">
      <pane ySplit="2" topLeftCell="A3" activePane="bottomLeft" state="frozen"/>
      <selection pane="bottomLeft" activeCell="F13" sqref="F13"/>
    </sheetView>
  </sheetViews>
  <sheetFormatPr defaultColWidth="9" defaultRowHeight="12" x14ac:dyDescent="0.15"/>
  <cols>
    <col min="1" max="1" width="10.125" style="1" customWidth="1"/>
    <col min="2" max="2" width="11.25" style="1" bestFit="1" customWidth="1"/>
    <col min="3" max="3" width="12.25" style="1" customWidth="1"/>
    <col min="4" max="4" width="9.75" style="1" customWidth="1"/>
    <col min="5" max="5" width="9.875" style="1" customWidth="1"/>
    <col min="6" max="16384" width="9" style="1"/>
  </cols>
  <sheetData>
    <row r="1" spans="1:6" s="2" customFormat="1" x14ac:dyDescent="0.15">
      <c r="A1" s="3" t="s">
        <v>3</v>
      </c>
      <c r="B1" s="3" t="s">
        <v>36</v>
      </c>
      <c r="C1" s="3" t="s">
        <v>37</v>
      </c>
      <c r="D1" s="3" t="s">
        <v>68</v>
      </c>
      <c r="E1" s="3" t="s">
        <v>69</v>
      </c>
      <c r="F1" s="3" t="s">
        <v>50</v>
      </c>
    </row>
    <row r="2" spans="1:6" x14ac:dyDescent="0.15">
      <c r="A2" s="1" t="s">
        <v>44</v>
      </c>
      <c r="B2" s="1" t="s">
        <v>44</v>
      </c>
      <c r="C2" s="1" t="s">
        <v>116</v>
      </c>
      <c r="D2" s="1" t="s">
        <v>0</v>
      </c>
      <c r="E2" s="1" t="s">
        <v>0</v>
      </c>
      <c r="F2" s="1" t="s">
        <v>0</v>
      </c>
    </row>
    <row r="3" spans="1:6" x14ac:dyDescent="0.15">
      <c r="A3" s="2" t="s">
        <v>212</v>
      </c>
      <c r="B3" s="2" t="s">
        <v>213</v>
      </c>
      <c r="C3" s="2" t="s">
        <v>45</v>
      </c>
      <c r="D3" s="2" t="s">
        <v>70</v>
      </c>
      <c r="E3" s="2" t="s">
        <v>45</v>
      </c>
      <c r="F3" s="2" t="s">
        <v>111</v>
      </c>
    </row>
    <row r="4" spans="1:6" x14ac:dyDescent="0.15">
      <c r="A4" s="2" t="s">
        <v>204</v>
      </c>
      <c r="B4" s="2" t="s">
        <v>214</v>
      </c>
      <c r="C4" s="2" t="s">
        <v>32</v>
      </c>
      <c r="D4" s="2" t="s">
        <v>14</v>
      </c>
      <c r="E4" s="2" t="s">
        <v>70</v>
      </c>
      <c r="F4" s="1" t="s">
        <v>244</v>
      </c>
    </row>
    <row r="5" spans="1:6" x14ac:dyDescent="0.15">
      <c r="A5" s="2" t="s">
        <v>215</v>
      </c>
      <c r="B5" s="2" t="s">
        <v>216</v>
      </c>
      <c r="C5" s="2" t="s">
        <v>45</v>
      </c>
      <c r="D5" s="2" t="s">
        <v>72</v>
      </c>
      <c r="E5" s="2" t="s">
        <v>45</v>
      </c>
      <c r="F5" s="1" t="s">
        <v>245</v>
      </c>
    </row>
    <row r="6" spans="1:6" x14ac:dyDescent="0.15">
      <c r="A6" s="2" t="s">
        <v>217</v>
      </c>
      <c r="B6" s="2" t="s">
        <v>218</v>
      </c>
      <c r="C6" s="2" t="s">
        <v>32</v>
      </c>
      <c r="D6" s="2" t="s">
        <v>14</v>
      </c>
      <c r="E6" s="2" t="s">
        <v>71</v>
      </c>
      <c r="F6" s="1" t="s">
        <v>245</v>
      </c>
    </row>
    <row r="7" spans="1:6" x14ac:dyDescent="0.15">
      <c r="A7" s="2" t="s">
        <v>219</v>
      </c>
      <c r="B7" s="2" t="s">
        <v>220</v>
      </c>
      <c r="C7" s="2" t="s">
        <v>45</v>
      </c>
      <c r="D7" s="2" t="s">
        <v>73</v>
      </c>
      <c r="E7" s="2" t="s">
        <v>45</v>
      </c>
      <c r="F7" s="1" t="s">
        <v>246</v>
      </c>
    </row>
    <row r="8" spans="1:6" x14ac:dyDescent="0.15">
      <c r="A8" s="2" t="s">
        <v>221</v>
      </c>
      <c r="B8" s="2" t="s">
        <v>222</v>
      </c>
      <c r="C8" s="2" t="s">
        <v>32</v>
      </c>
      <c r="D8" s="2" t="s">
        <v>14</v>
      </c>
      <c r="E8" s="2" t="s">
        <v>74</v>
      </c>
      <c r="F8" s="1" t="s">
        <v>246</v>
      </c>
    </row>
    <row r="9" spans="1:6" ht="24" x14ac:dyDescent="0.15">
      <c r="A9" s="2" t="s">
        <v>223</v>
      </c>
      <c r="B9" s="2" t="s">
        <v>224</v>
      </c>
      <c r="C9" s="2" t="s">
        <v>45</v>
      </c>
      <c r="D9" s="2" t="s">
        <v>75</v>
      </c>
      <c r="E9" s="2" t="s">
        <v>45</v>
      </c>
      <c r="F9" s="1" t="s">
        <v>247</v>
      </c>
    </row>
    <row r="10" spans="1:6" ht="24" x14ac:dyDescent="0.15">
      <c r="A10" s="2" t="s">
        <v>225</v>
      </c>
      <c r="B10" s="2" t="s">
        <v>226</v>
      </c>
      <c r="C10" s="2" t="s">
        <v>32</v>
      </c>
      <c r="D10" s="2" t="s">
        <v>14</v>
      </c>
      <c r="E10" s="2" t="s">
        <v>72</v>
      </c>
      <c r="F10" s="1" t="s">
        <v>247</v>
      </c>
    </row>
    <row r="11" spans="1:6" x14ac:dyDescent="0.15">
      <c r="A11" s="2" t="s">
        <v>227</v>
      </c>
      <c r="B11" s="2" t="s">
        <v>228</v>
      </c>
      <c r="C11" s="2" t="s">
        <v>45</v>
      </c>
      <c r="D11" s="2" t="s">
        <v>76</v>
      </c>
      <c r="E11" s="2" t="s">
        <v>45</v>
      </c>
      <c r="F11" s="1" t="s">
        <v>248</v>
      </c>
    </row>
    <row r="12" spans="1:6" x14ac:dyDescent="0.15">
      <c r="A12" s="2" t="s">
        <v>229</v>
      </c>
      <c r="B12" s="2" t="s">
        <v>230</v>
      </c>
      <c r="C12" s="2" t="s">
        <v>32</v>
      </c>
      <c r="D12" s="2" t="s">
        <v>14</v>
      </c>
      <c r="E12" s="2" t="s">
        <v>77</v>
      </c>
      <c r="F12" s="1" t="s">
        <v>248</v>
      </c>
    </row>
    <row r="13" spans="1:6" x14ac:dyDescent="0.15">
      <c r="A13" s="2" t="s">
        <v>231</v>
      </c>
      <c r="B13" s="2" t="s">
        <v>232</v>
      </c>
      <c r="C13" s="2" t="s">
        <v>45</v>
      </c>
      <c r="D13" s="2" t="s">
        <v>78</v>
      </c>
      <c r="E13" s="2" t="s">
        <v>45</v>
      </c>
      <c r="F13" s="1" t="s">
        <v>249</v>
      </c>
    </row>
    <row r="14" spans="1:6" x14ac:dyDescent="0.15">
      <c r="A14" s="2" t="s">
        <v>233</v>
      </c>
      <c r="B14" s="2" t="s">
        <v>234</v>
      </c>
      <c r="C14" s="2" t="s">
        <v>32</v>
      </c>
      <c r="D14" s="2" t="s">
        <v>14</v>
      </c>
      <c r="E14" s="2" t="s">
        <v>79</v>
      </c>
      <c r="F14" s="1" t="s">
        <v>249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"/>
  <sheetViews>
    <sheetView zoomScaleNormal="100" workbookViewId="0">
      <pane ySplit="2" topLeftCell="A3" activePane="bottomLeft" state="frozen"/>
      <selection pane="bottomLeft" activeCell="B3" sqref="B3"/>
    </sheetView>
  </sheetViews>
  <sheetFormatPr defaultColWidth="9" defaultRowHeight="12" x14ac:dyDescent="0.15"/>
  <cols>
    <col min="1" max="1" width="10.125" style="1" customWidth="1"/>
    <col min="2" max="2" width="11.25" style="1" bestFit="1" customWidth="1"/>
    <col min="3" max="3" width="12.25" style="1" customWidth="1"/>
    <col min="4" max="4" width="13.75" style="1" customWidth="1"/>
    <col min="5" max="16384" width="9" style="1"/>
  </cols>
  <sheetData>
    <row r="1" spans="1:4" s="2" customFormat="1" x14ac:dyDescent="0.15">
      <c r="A1" s="3" t="s">
        <v>3</v>
      </c>
      <c r="B1" s="3" t="s">
        <v>36</v>
      </c>
      <c r="C1" s="3" t="s">
        <v>84</v>
      </c>
      <c r="D1" s="3" t="s">
        <v>85</v>
      </c>
    </row>
    <row r="2" spans="1:4" x14ac:dyDescent="0.15">
      <c r="A2" s="1" t="s">
        <v>0</v>
      </c>
      <c r="B2" s="1" t="s">
        <v>44</v>
      </c>
      <c r="C2" s="1" t="s">
        <v>13</v>
      </c>
      <c r="D2" s="1" t="s">
        <v>13</v>
      </c>
    </row>
    <row r="3" spans="1:4" ht="36" x14ac:dyDescent="0.15">
      <c r="A3" s="2" t="s">
        <v>32</v>
      </c>
      <c r="B3" s="2" t="s">
        <v>235</v>
      </c>
      <c r="C3" s="2" t="s">
        <v>86</v>
      </c>
      <c r="D3" s="2" t="s">
        <v>123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L43"/>
  <sheetViews>
    <sheetView tabSelected="1" topLeftCell="A22" workbookViewId="0">
      <selection activeCell="C44" sqref="C44"/>
    </sheetView>
  </sheetViews>
  <sheetFormatPr defaultRowHeight="13.5" x14ac:dyDescent="0.15"/>
  <cols>
    <col min="2" max="2" width="13.25" customWidth="1"/>
  </cols>
  <sheetData>
    <row r="1" spans="2:3" x14ac:dyDescent="0.15">
      <c r="C1" t="s">
        <v>87</v>
      </c>
    </row>
    <row r="2" spans="2:3" x14ac:dyDescent="0.15">
      <c r="C2" t="s">
        <v>88</v>
      </c>
    </row>
    <row r="4" spans="2:3" x14ac:dyDescent="0.15">
      <c r="B4" t="s">
        <v>89</v>
      </c>
    </row>
    <row r="5" spans="2:3" x14ac:dyDescent="0.15">
      <c r="C5" t="s">
        <v>90</v>
      </c>
    </row>
    <row r="6" spans="2:3" x14ac:dyDescent="0.15">
      <c r="C6" t="s">
        <v>91</v>
      </c>
    </row>
    <row r="7" spans="2:3" x14ac:dyDescent="0.15">
      <c r="C7" t="s">
        <v>92</v>
      </c>
    </row>
    <row r="8" spans="2:3" x14ac:dyDescent="0.15">
      <c r="C8" t="s">
        <v>93</v>
      </c>
    </row>
    <row r="9" spans="2:3" x14ac:dyDescent="0.15">
      <c r="C9" t="s">
        <v>94</v>
      </c>
    </row>
    <row r="10" spans="2:3" x14ac:dyDescent="0.15">
      <c r="C10" t="s">
        <v>95</v>
      </c>
    </row>
    <row r="11" spans="2:3" x14ac:dyDescent="0.15">
      <c r="B11" t="s">
        <v>96</v>
      </c>
    </row>
    <row r="12" spans="2:3" x14ac:dyDescent="0.15">
      <c r="C12" t="s">
        <v>97</v>
      </c>
    </row>
    <row r="13" spans="2:3" x14ac:dyDescent="0.15">
      <c r="C13" t="s">
        <v>98</v>
      </c>
    </row>
    <row r="14" spans="2:3" x14ac:dyDescent="0.15">
      <c r="C14" t="s">
        <v>99</v>
      </c>
    </row>
    <row r="15" spans="2:3" x14ac:dyDescent="0.15">
      <c r="C15" t="s">
        <v>93</v>
      </c>
    </row>
    <row r="16" spans="2:3" x14ac:dyDescent="0.15">
      <c r="C16" t="s">
        <v>94</v>
      </c>
    </row>
    <row r="17" spans="2:5" x14ac:dyDescent="0.15">
      <c r="C17" t="s">
        <v>95</v>
      </c>
    </row>
    <row r="18" spans="2:5" x14ac:dyDescent="0.15">
      <c r="B18" t="s">
        <v>100</v>
      </c>
    </row>
    <row r="19" spans="2:5" x14ac:dyDescent="0.15">
      <c r="C19" t="s">
        <v>101</v>
      </c>
    </row>
    <row r="20" spans="2:5" x14ac:dyDescent="0.15">
      <c r="C20" t="s">
        <v>102</v>
      </c>
    </row>
    <row r="21" spans="2:5" x14ac:dyDescent="0.15">
      <c r="D21" t="s">
        <v>103</v>
      </c>
    </row>
    <row r="22" spans="2:5" x14ac:dyDescent="0.15">
      <c r="C22" t="s">
        <v>104</v>
      </c>
    </row>
    <row r="23" spans="2:5" x14ac:dyDescent="0.15">
      <c r="C23" t="s">
        <v>105</v>
      </c>
    </row>
    <row r="24" spans="2:5" x14ac:dyDescent="0.15">
      <c r="C24" t="s">
        <v>106</v>
      </c>
    </row>
    <row r="25" spans="2:5" x14ac:dyDescent="0.15">
      <c r="C25" t="s">
        <v>95</v>
      </c>
    </row>
    <row r="28" spans="2:5" x14ac:dyDescent="0.15">
      <c r="D28">
        <v>5</v>
      </c>
      <c r="E28">
        <v>10</v>
      </c>
    </row>
    <row r="29" spans="2:5" x14ac:dyDescent="0.15">
      <c r="B29" s="17" t="s">
        <v>264</v>
      </c>
      <c r="C29">
        <v>0.01</v>
      </c>
      <c r="D29" t="s">
        <v>259</v>
      </c>
      <c r="E29" t="s">
        <v>260</v>
      </c>
    </row>
    <row r="30" spans="2:5" x14ac:dyDescent="0.15">
      <c r="B30" s="18" t="s">
        <v>251</v>
      </c>
      <c r="C30">
        <v>0.01</v>
      </c>
      <c r="D30" t="s">
        <v>261</v>
      </c>
      <c r="E30" t="s">
        <v>262</v>
      </c>
    </row>
    <row r="31" spans="2:5" x14ac:dyDescent="0.15">
      <c r="B31" s="18" t="s">
        <v>252</v>
      </c>
      <c r="C31">
        <v>0.01</v>
      </c>
      <c r="D31" t="s">
        <v>282</v>
      </c>
      <c r="E31" t="s">
        <v>263</v>
      </c>
    </row>
    <row r="32" spans="2:5" x14ac:dyDescent="0.15">
      <c r="B32" s="18" t="s">
        <v>253</v>
      </c>
      <c r="C32">
        <v>0.01</v>
      </c>
      <c r="D32" s="19" t="s">
        <v>271</v>
      </c>
      <c r="E32" s="19" t="s">
        <v>272</v>
      </c>
    </row>
    <row r="33" spans="2:12" x14ac:dyDescent="0.15">
      <c r="B33" s="18" t="s">
        <v>265</v>
      </c>
      <c r="C33">
        <v>0.01</v>
      </c>
      <c r="D33" s="21" t="s">
        <v>273</v>
      </c>
      <c r="E33" s="21" t="s">
        <v>270</v>
      </c>
      <c r="F33" s="20" t="s">
        <v>284</v>
      </c>
      <c r="G33" s="20" t="s">
        <v>283</v>
      </c>
      <c r="L33" t="s">
        <v>285</v>
      </c>
    </row>
    <row r="34" spans="2:12" x14ac:dyDescent="0.15">
      <c r="B34" s="18" t="s">
        <v>266</v>
      </c>
      <c r="C34">
        <v>0.01</v>
      </c>
      <c r="D34" s="21"/>
      <c r="E34" s="21"/>
      <c r="F34" s="21"/>
      <c r="G34" s="21"/>
      <c r="L34">
        <v>7</v>
      </c>
    </row>
    <row r="35" spans="2:12" x14ac:dyDescent="0.15">
      <c r="B35" s="18" t="s">
        <v>254</v>
      </c>
      <c r="C35">
        <v>0.01</v>
      </c>
      <c r="D35" s="21"/>
      <c r="E35" s="21"/>
      <c r="F35" s="21"/>
      <c r="G35" s="21"/>
      <c r="L35">
        <v>11</v>
      </c>
    </row>
    <row r="36" spans="2:12" x14ac:dyDescent="0.15">
      <c r="B36" s="18" t="s">
        <v>267</v>
      </c>
      <c r="C36">
        <v>0.03</v>
      </c>
      <c r="D36" s="20" t="s">
        <v>275</v>
      </c>
      <c r="E36" s="20" t="s">
        <v>274</v>
      </c>
      <c r="L36">
        <v>12</v>
      </c>
    </row>
    <row r="37" spans="2:12" x14ac:dyDescent="0.15">
      <c r="B37" s="18" t="s">
        <v>255</v>
      </c>
      <c r="C37">
        <v>0.03</v>
      </c>
      <c r="D37" s="21"/>
      <c r="E37" s="21"/>
      <c r="L37">
        <v>13</v>
      </c>
    </row>
    <row r="38" spans="2:12" x14ac:dyDescent="0.15">
      <c r="B38" s="18" t="s">
        <v>256</v>
      </c>
      <c r="C38">
        <v>0.03</v>
      </c>
      <c r="D38" s="21"/>
      <c r="E38" s="21"/>
    </row>
    <row r="39" spans="2:12" x14ac:dyDescent="0.15">
      <c r="B39" s="18" t="s">
        <v>257</v>
      </c>
      <c r="C39">
        <v>0.01</v>
      </c>
      <c r="D39" s="21"/>
      <c r="E39" s="21"/>
    </row>
    <row r="40" spans="2:12" x14ac:dyDescent="0.15">
      <c r="B40" s="18"/>
    </row>
    <row r="41" spans="2:12" x14ac:dyDescent="0.15">
      <c r="B41" s="18" t="s">
        <v>258</v>
      </c>
      <c r="C41">
        <v>0.01</v>
      </c>
      <c r="D41" t="s">
        <v>279</v>
      </c>
      <c r="E41" t="s">
        <v>278</v>
      </c>
    </row>
    <row r="42" spans="2:12" x14ac:dyDescent="0.15">
      <c r="B42" s="18" t="s">
        <v>268</v>
      </c>
      <c r="C42">
        <v>5</v>
      </c>
      <c r="D42" s="19" t="s">
        <v>280</v>
      </c>
      <c r="E42" s="19" t="s">
        <v>276</v>
      </c>
    </row>
    <row r="43" spans="2:12" x14ac:dyDescent="0.15">
      <c r="B43" s="18" t="s">
        <v>269</v>
      </c>
      <c r="C43">
        <v>5</v>
      </c>
      <c r="D43" s="19" t="s">
        <v>281</v>
      </c>
      <c r="E43" s="19" t="s">
        <v>277</v>
      </c>
    </row>
  </sheetData>
  <mergeCells count="6">
    <mergeCell ref="G33:G35"/>
    <mergeCell ref="D33:D35"/>
    <mergeCell ref="D36:D39"/>
    <mergeCell ref="E33:E35"/>
    <mergeCell ref="E36:E39"/>
    <mergeCell ref="F33:F35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W14"/>
  <sheetViews>
    <sheetView workbookViewId="0">
      <selection activeCell="F22" sqref="F22"/>
    </sheetView>
  </sheetViews>
  <sheetFormatPr defaultRowHeight="13.5" x14ac:dyDescent="0.15"/>
  <cols>
    <col min="2" max="4" width="3.5" bestFit="1" customWidth="1"/>
    <col min="5" max="7" width="4.5" bestFit="1" customWidth="1"/>
    <col min="8" max="10" width="5.5" bestFit="1" customWidth="1"/>
    <col min="11" max="14" width="6.5" bestFit="1" customWidth="1"/>
    <col min="15" max="17" width="7.5" bestFit="1" customWidth="1"/>
    <col min="18" max="20" width="8.5" bestFit="1" customWidth="1"/>
    <col min="21" max="24" width="9.5" bestFit="1" customWidth="1"/>
    <col min="25" max="27" width="10.5" bestFit="1" customWidth="1"/>
    <col min="28" max="30" width="11.625" bestFit="1" customWidth="1"/>
    <col min="31" max="49" width="12.75" bestFit="1" customWidth="1"/>
    <col min="50" max="54" width="11.625" bestFit="1" customWidth="1"/>
    <col min="55" max="58" width="12.75" bestFit="1" customWidth="1"/>
    <col min="59" max="59" width="11.625" bestFit="1" customWidth="1"/>
    <col min="60" max="66" width="12.75" bestFit="1" customWidth="1"/>
    <col min="67" max="67" width="11.625" bestFit="1" customWidth="1"/>
    <col min="68" max="82" width="12.75" bestFit="1" customWidth="1"/>
    <col min="83" max="83" width="11.625" bestFit="1" customWidth="1"/>
    <col min="84" max="89" width="12.75" bestFit="1" customWidth="1"/>
    <col min="90" max="90" width="11.625" bestFit="1" customWidth="1"/>
    <col min="91" max="94" width="12.75" bestFit="1" customWidth="1"/>
    <col min="95" max="95" width="11.625" bestFit="1" customWidth="1"/>
    <col min="96" max="101" width="12.75" bestFit="1" customWidth="1"/>
  </cols>
  <sheetData>
    <row r="1" spans="1:101" s="10" customFormat="1" x14ac:dyDescent="0.15"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0">
        <v>32</v>
      </c>
      <c r="AH1" s="10">
        <v>33</v>
      </c>
      <c r="AI1" s="10">
        <v>34</v>
      </c>
      <c r="AJ1" s="10">
        <v>35</v>
      </c>
      <c r="AK1" s="10">
        <v>36</v>
      </c>
      <c r="AL1" s="10">
        <v>37</v>
      </c>
      <c r="AM1" s="10">
        <v>38</v>
      </c>
      <c r="AN1" s="10">
        <v>39</v>
      </c>
      <c r="AO1" s="10">
        <v>40</v>
      </c>
      <c r="AP1" s="10">
        <v>41</v>
      </c>
      <c r="AQ1" s="10">
        <v>42</v>
      </c>
      <c r="AR1" s="10">
        <v>43</v>
      </c>
      <c r="AS1" s="10">
        <v>44</v>
      </c>
      <c r="AT1" s="10">
        <v>45</v>
      </c>
      <c r="AU1" s="10">
        <v>46</v>
      </c>
      <c r="AV1" s="10">
        <v>47</v>
      </c>
      <c r="AW1" s="10">
        <v>48</v>
      </c>
      <c r="AX1" s="10">
        <v>49</v>
      </c>
      <c r="AY1" s="10">
        <v>50</v>
      </c>
      <c r="AZ1" s="10">
        <v>51</v>
      </c>
      <c r="BA1" s="10">
        <v>52</v>
      </c>
      <c r="BB1" s="10">
        <v>53</v>
      </c>
      <c r="BC1" s="10">
        <v>54</v>
      </c>
      <c r="BD1" s="10">
        <v>55</v>
      </c>
      <c r="BE1" s="10">
        <v>56</v>
      </c>
      <c r="BF1" s="10">
        <v>57</v>
      </c>
      <c r="BG1" s="10">
        <v>58</v>
      </c>
      <c r="BH1" s="10">
        <v>59</v>
      </c>
      <c r="BI1" s="10">
        <v>60</v>
      </c>
      <c r="BJ1" s="10">
        <v>61</v>
      </c>
      <c r="BK1" s="10">
        <v>62</v>
      </c>
      <c r="BL1" s="10">
        <v>63</v>
      </c>
      <c r="BM1" s="10">
        <v>64</v>
      </c>
      <c r="BN1" s="10">
        <v>65</v>
      </c>
      <c r="BO1" s="10">
        <v>66</v>
      </c>
      <c r="BP1" s="10">
        <v>67</v>
      </c>
      <c r="BQ1" s="10">
        <v>68</v>
      </c>
      <c r="BR1" s="10">
        <v>69</v>
      </c>
      <c r="BS1" s="10">
        <v>70</v>
      </c>
      <c r="BT1" s="10">
        <v>71</v>
      </c>
      <c r="BU1" s="10">
        <v>72</v>
      </c>
      <c r="BV1" s="10">
        <v>73</v>
      </c>
      <c r="BW1" s="10">
        <v>74</v>
      </c>
      <c r="BX1" s="10">
        <v>75</v>
      </c>
      <c r="BY1" s="10">
        <v>76</v>
      </c>
      <c r="BZ1" s="10">
        <v>77</v>
      </c>
      <c r="CA1" s="10">
        <v>78</v>
      </c>
      <c r="CB1" s="10">
        <v>79</v>
      </c>
      <c r="CC1" s="10">
        <v>80</v>
      </c>
      <c r="CD1" s="10">
        <v>81</v>
      </c>
      <c r="CE1" s="10">
        <v>82</v>
      </c>
      <c r="CF1" s="10">
        <v>83</v>
      </c>
      <c r="CG1" s="10">
        <v>84</v>
      </c>
      <c r="CH1" s="10">
        <v>85</v>
      </c>
      <c r="CI1" s="10">
        <v>86</v>
      </c>
      <c r="CJ1" s="10">
        <v>87</v>
      </c>
      <c r="CK1" s="10">
        <v>88</v>
      </c>
      <c r="CL1" s="10">
        <v>89</v>
      </c>
      <c r="CM1" s="10">
        <v>90</v>
      </c>
      <c r="CN1" s="10">
        <v>91</v>
      </c>
      <c r="CO1" s="10">
        <v>92</v>
      </c>
      <c r="CP1" s="10">
        <v>93</v>
      </c>
      <c r="CQ1" s="10">
        <v>94</v>
      </c>
      <c r="CR1" s="10">
        <v>95</v>
      </c>
      <c r="CS1" s="10">
        <v>96</v>
      </c>
      <c r="CT1" s="10">
        <v>97</v>
      </c>
      <c r="CU1" s="10">
        <v>98</v>
      </c>
      <c r="CV1" s="10">
        <v>99</v>
      </c>
      <c r="CW1" s="10">
        <v>100</v>
      </c>
    </row>
    <row r="2" spans="1:101" x14ac:dyDescent="0.15">
      <c r="A2" t="s">
        <v>129</v>
      </c>
      <c r="B2">
        <v>5</v>
      </c>
      <c r="C2">
        <f>ROUNDUP(B2*1.03,0)</f>
        <v>6</v>
      </c>
      <c r="D2">
        <f t="shared" ref="D2:BO2" si="0">ROUNDUP(C2*1.03,0)</f>
        <v>7</v>
      </c>
      <c r="E2">
        <f t="shared" si="0"/>
        <v>8</v>
      </c>
      <c r="F2">
        <f t="shared" si="0"/>
        <v>9</v>
      </c>
      <c r="G2">
        <f t="shared" si="0"/>
        <v>10</v>
      </c>
      <c r="H2">
        <f t="shared" si="0"/>
        <v>11</v>
      </c>
      <c r="I2">
        <f t="shared" si="0"/>
        <v>12</v>
      </c>
      <c r="J2">
        <f t="shared" si="0"/>
        <v>13</v>
      </c>
      <c r="K2">
        <f t="shared" si="0"/>
        <v>14</v>
      </c>
      <c r="L2">
        <f t="shared" si="0"/>
        <v>15</v>
      </c>
      <c r="M2">
        <f t="shared" si="0"/>
        <v>16</v>
      </c>
      <c r="N2">
        <f t="shared" si="0"/>
        <v>17</v>
      </c>
      <c r="O2">
        <f t="shared" si="0"/>
        <v>18</v>
      </c>
      <c r="P2">
        <f t="shared" si="0"/>
        <v>19</v>
      </c>
      <c r="Q2">
        <f t="shared" si="0"/>
        <v>20</v>
      </c>
      <c r="R2">
        <f t="shared" si="0"/>
        <v>21</v>
      </c>
      <c r="S2">
        <f t="shared" si="0"/>
        <v>22</v>
      </c>
      <c r="T2">
        <f t="shared" si="0"/>
        <v>23</v>
      </c>
      <c r="U2">
        <f t="shared" si="0"/>
        <v>24</v>
      </c>
      <c r="V2">
        <f t="shared" si="0"/>
        <v>25</v>
      </c>
      <c r="W2">
        <f t="shared" si="0"/>
        <v>26</v>
      </c>
      <c r="X2">
        <f t="shared" si="0"/>
        <v>27</v>
      </c>
      <c r="Y2">
        <f t="shared" si="0"/>
        <v>28</v>
      </c>
      <c r="Z2">
        <f t="shared" si="0"/>
        <v>29</v>
      </c>
      <c r="AA2">
        <f t="shared" si="0"/>
        <v>30</v>
      </c>
      <c r="AB2">
        <f t="shared" si="0"/>
        <v>31</v>
      </c>
      <c r="AC2">
        <f t="shared" si="0"/>
        <v>32</v>
      </c>
      <c r="AD2">
        <f t="shared" si="0"/>
        <v>33</v>
      </c>
      <c r="AE2">
        <f t="shared" si="0"/>
        <v>34</v>
      </c>
      <c r="AF2">
        <f t="shared" si="0"/>
        <v>36</v>
      </c>
      <c r="AG2">
        <f t="shared" si="0"/>
        <v>38</v>
      </c>
      <c r="AH2">
        <f t="shared" si="0"/>
        <v>40</v>
      </c>
      <c r="AI2">
        <f t="shared" si="0"/>
        <v>42</v>
      </c>
      <c r="AJ2">
        <f t="shared" si="0"/>
        <v>44</v>
      </c>
      <c r="AK2">
        <f t="shared" si="0"/>
        <v>46</v>
      </c>
      <c r="AL2">
        <f t="shared" si="0"/>
        <v>48</v>
      </c>
      <c r="AM2">
        <f t="shared" si="0"/>
        <v>50</v>
      </c>
      <c r="AN2">
        <f t="shared" si="0"/>
        <v>52</v>
      </c>
      <c r="AO2">
        <f t="shared" si="0"/>
        <v>54</v>
      </c>
      <c r="AP2">
        <f t="shared" si="0"/>
        <v>56</v>
      </c>
      <c r="AQ2">
        <f t="shared" si="0"/>
        <v>58</v>
      </c>
      <c r="AR2">
        <f t="shared" si="0"/>
        <v>60</v>
      </c>
      <c r="AS2">
        <f t="shared" si="0"/>
        <v>62</v>
      </c>
      <c r="AT2">
        <f t="shared" si="0"/>
        <v>64</v>
      </c>
      <c r="AU2">
        <f t="shared" si="0"/>
        <v>66</v>
      </c>
      <c r="AV2">
        <f t="shared" si="0"/>
        <v>68</v>
      </c>
      <c r="AW2">
        <f t="shared" si="0"/>
        <v>71</v>
      </c>
      <c r="AX2">
        <f t="shared" si="0"/>
        <v>74</v>
      </c>
      <c r="AY2">
        <f t="shared" si="0"/>
        <v>77</v>
      </c>
      <c r="AZ2">
        <f t="shared" si="0"/>
        <v>80</v>
      </c>
      <c r="BA2">
        <f t="shared" si="0"/>
        <v>83</v>
      </c>
      <c r="BB2">
        <f t="shared" si="0"/>
        <v>86</v>
      </c>
      <c r="BC2">
        <f t="shared" si="0"/>
        <v>89</v>
      </c>
      <c r="BD2">
        <f t="shared" si="0"/>
        <v>92</v>
      </c>
      <c r="BE2">
        <f t="shared" si="0"/>
        <v>95</v>
      </c>
      <c r="BF2">
        <f t="shared" si="0"/>
        <v>98</v>
      </c>
      <c r="BG2">
        <f t="shared" si="0"/>
        <v>101</v>
      </c>
      <c r="BH2">
        <f t="shared" si="0"/>
        <v>105</v>
      </c>
      <c r="BI2">
        <f t="shared" si="0"/>
        <v>109</v>
      </c>
      <c r="BJ2">
        <f t="shared" si="0"/>
        <v>113</v>
      </c>
      <c r="BK2">
        <f t="shared" si="0"/>
        <v>117</v>
      </c>
      <c r="BL2">
        <f t="shared" si="0"/>
        <v>121</v>
      </c>
      <c r="BM2">
        <f t="shared" si="0"/>
        <v>125</v>
      </c>
      <c r="BN2">
        <f t="shared" si="0"/>
        <v>129</v>
      </c>
      <c r="BO2">
        <f t="shared" si="0"/>
        <v>133</v>
      </c>
      <c r="BP2">
        <f t="shared" ref="BP2:CW2" si="1">ROUNDUP(BO2*1.03,0)</f>
        <v>137</v>
      </c>
      <c r="BQ2">
        <f t="shared" si="1"/>
        <v>142</v>
      </c>
      <c r="BR2">
        <f t="shared" si="1"/>
        <v>147</v>
      </c>
      <c r="BS2">
        <f t="shared" si="1"/>
        <v>152</v>
      </c>
      <c r="BT2">
        <f t="shared" si="1"/>
        <v>157</v>
      </c>
      <c r="BU2">
        <f t="shared" si="1"/>
        <v>162</v>
      </c>
      <c r="BV2">
        <f t="shared" si="1"/>
        <v>167</v>
      </c>
      <c r="BW2">
        <f t="shared" si="1"/>
        <v>173</v>
      </c>
      <c r="BX2">
        <f t="shared" si="1"/>
        <v>179</v>
      </c>
      <c r="BY2">
        <f t="shared" si="1"/>
        <v>185</v>
      </c>
      <c r="BZ2">
        <f t="shared" si="1"/>
        <v>191</v>
      </c>
      <c r="CA2">
        <f t="shared" si="1"/>
        <v>197</v>
      </c>
      <c r="CB2">
        <f t="shared" si="1"/>
        <v>203</v>
      </c>
      <c r="CC2">
        <f t="shared" si="1"/>
        <v>210</v>
      </c>
      <c r="CD2">
        <f t="shared" si="1"/>
        <v>217</v>
      </c>
      <c r="CE2">
        <f t="shared" si="1"/>
        <v>224</v>
      </c>
      <c r="CF2">
        <f t="shared" si="1"/>
        <v>231</v>
      </c>
      <c r="CG2">
        <f t="shared" si="1"/>
        <v>238</v>
      </c>
      <c r="CH2">
        <f t="shared" si="1"/>
        <v>246</v>
      </c>
      <c r="CI2">
        <f t="shared" si="1"/>
        <v>254</v>
      </c>
      <c r="CJ2">
        <f t="shared" si="1"/>
        <v>262</v>
      </c>
      <c r="CK2">
        <f t="shared" si="1"/>
        <v>270</v>
      </c>
      <c r="CL2">
        <f t="shared" si="1"/>
        <v>279</v>
      </c>
      <c r="CM2">
        <f t="shared" si="1"/>
        <v>288</v>
      </c>
      <c r="CN2">
        <f t="shared" si="1"/>
        <v>297</v>
      </c>
      <c r="CO2">
        <f t="shared" si="1"/>
        <v>306</v>
      </c>
      <c r="CP2">
        <f t="shared" si="1"/>
        <v>316</v>
      </c>
      <c r="CQ2">
        <f t="shared" si="1"/>
        <v>326</v>
      </c>
      <c r="CR2">
        <f t="shared" si="1"/>
        <v>336</v>
      </c>
      <c r="CS2">
        <f t="shared" si="1"/>
        <v>347</v>
      </c>
      <c r="CT2">
        <f t="shared" si="1"/>
        <v>358</v>
      </c>
      <c r="CU2">
        <f t="shared" si="1"/>
        <v>369</v>
      </c>
      <c r="CV2">
        <f t="shared" si="1"/>
        <v>381</v>
      </c>
      <c r="CW2">
        <f t="shared" si="1"/>
        <v>393</v>
      </c>
    </row>
    <row r="3" spans="1:101" x14ac:dyDescent="0.15">
      <c r="A3" t="s">
        <v>130</v>
      </c>
      <c r="B3">
        <v>2</v>
      </c>
      <c r="C3">
        <f>ROUNDUP(B3*1.01,0)</f>
        <v>3</v>
      </c>
      <c r="D3">
        <f t="shared" ref="D3:BO3" si="2">ROUNDUP(C3*1.01,0)</f>
        <v>4</v>
      </c>
      <c r="E3">
        <f t="shared" si="2"/>
        <v>5</v>
      </c>
      <c r="F3">
        <f t="shared" si="2"/>
        <v>6</v>
      </c>
      <c r="G3">
        <f t="shared" si="2"/>
        <v>7</v>
      </c>
      <c r="H3">
        <f t="shared" si="2"/>
        <v>8</v>
      </c>
      <c r="I3">
        <f t="shared" si="2"/>
        <v>9</v>
      </c>
      <c r="J3">
        <f t="shared" si="2"/>
        <v>10</v>
      </c>
      <c r="K3">
        <f t="shared" si="2"/>
        <v>11</v>
      </c>
      <c r="L3">
        <f t="shared" si="2"/>
        <v>12</v>
      </c>
      <c r="M3">
        <f t="shared" si="2"/>
        <v>13</v>
      </c>
      <c r="N3">
        <f t="shared" si="2"/>
        <v>14</v>
      </c>
      <c r="O3">
        <f t="shared" si="2"/>
        <v>15</v>
      </c>
      <c r="P3">
        <f t="shared" si="2"/>
        <v>16</v>
      </c>
      <c r="Q3">
        <f t="shared" si="2"/>
        <v>17</v>
      </c>
      <c r="R3">
        <f t="shared" si="2"/>
        <v>18</v>
      </c>
      <c r="S3">
        <f t="shared" si="2"/>
        <v>19</v>
      </c>
      <c r="T3">
        <f t="shared" si="2"/>
        <v>20</v>
      </c>
      <c r="U3">
        <f t="shared" si="2"/>
        <v>21</v>
      </c>
      <c r="V3">
        <f t="shared" si="2"/>
        <v>22</v>
      </c>
      <c r="W3">
        <f t="shared" si="2"/>
        <v>23</v>
      </c>
      <c r="X3">
        <f t="shared" si="2"/>
        <v>24</v>
      </c>
      <c r="Y3">
        <f t="shared" si="2"/>
        <v>25</v>
      </c>
      <c r="Z3">
        <f t="shared" si="2"/>
        <v>26</v>
      </c>
      <c r="AA3">
        <f t="shared" si="2"/>
        <v>27</v>
      </c>
      <c r="AB3">
        <f t="shared" si="2"/>
        <v>28</v>
      </c>
      <c r="AC3">
        <f t="shared" si="2"/>
        <v>29</v>
      </c>
      <c r="AD3">
        <f t="shared" si="2"/>
        <v>30</v>
      </c>
      <c r="AE3">
        <f t="shared" si="2"/>
        <v>31</v>
      </c>
      <c r="AF3">
        <f t="shared" si="2"/>
        <v>32</v>
      </c>
      <c r="AG3">
        <f t="shared" si="2"/>
        <v>33</v>
      </c>
      <c r="AH3">
        <f t="shared" si="2"/>
        <v>34</v>
      </c>
      <c r="AI3">
        <f t="shared" si="2"/>
        <v>35</v>
      </c>
      <c r="AJ3">
        <f t="shared" si="2"/>
        <v>36</v>
      </c>
      <c r="AK3">
        <f t="shared" si="2"/>
        <v>37</v>
      </c>
      <c r="AL3">
        <f t="shared" si="2"/>
        <v>38</v>
      </c>
      <c r="AM3">
        <f t="shared" si="2"/>
        <v>39</v>
      </c>
      <c r="AN3">
        <f t="shared" si="2"/>
        <v>40</v>
      </c>
      <c r="AO3">
        <f t="shared" si="2"/>
        <v>41</v>
      </c>
      <c r="AP3">
        <f t="shared" si="2"/>
        <v>42</v>
      </c>
      <c r="AQ3">
        <f t="shared" si="2"/>
        <v>43</v>
      </c>
      <c r="AR3">
        <f t="shared" si="2"/>
        <v>44</v>
      </c>
      <c r="AS3">
        <f t="shared" si="2"/>
        <v>45</v>
      </c>
      <c r="AT3">
        <f t="shared" si="2"/>
        <v>46</v>
      </c>
      <c r="AU3">
        <f t="shared" si="2"/>
        <v>47</v>
      </c>
      <c r="AV3">
        <f t="shared" si="2"/>
        <v>48</v>
      </c>
      <c r="AW3">
        <f t="shared" si="2"/>
        <v>49</v>
      </c>
      <c r="AX3">
        <f t="shared" si="2"/>
        <v>50</v>
      </c>
      <c r="AY3">
        <f t="shared" si="2"/>
        <v>51</v>
      </c>
      <c r="AZ3">
        <f t="shared" si="2"/>
        <v>52</v>
      </c>
      <c r="BA3">
        <f t="shared" si="2"/>
        <v>53</v>
      </c>
      <c r="BB3">
        <f t="shared" si="2"/>
        <v>54</v>
      </c>
      <c r="BC3">
        <f t="shared" si="2"/>
        <v>55</v>
      </c>
      <c r="BD3">
        <f t="shared" si="2"/>
        <v>56</v>
      </c>
      <c r="BE3">
        <f t="shared" si="2"/>
        <v>57</v>
      </c>
      <c r="BF3">
        <f t="shared" si="2"/>
        <v>58</v>
      </c>
      <c r="BG3">
        <f t="shared" si="2"/>
        <v>59</v>
      </c>
      <c r="BH3">
        <f t="shared" si="2"/>
        <v>60</v>
      </c>
      <c r="BI3">
        <f t="shared" si="2"/>
        <v>61</v>
      </c>
      <c r="BJ3">
        <f t="shared" si="2"/>
        <v>62</v>
      </c>
      <c r="BK3">
        <f t="shared" si="2"/>
        <v>63</v>
      </c>
      <c r="BL3">
        <f t="shared" si="2"/>
        <v>64</v>
      </c>
      <c r="BM3">
        <f t="shared" si="2"/>
        <v>65</v>
      </c>
      <c r="BN3">
        <f t="shared" si="2"/>
        <v>66</v>
      </c>
      <c r="BO3">
        <f t="shared" si="2"/>
        <v>67</v>
      </c>
      <c r="BP3">
        <f t="shared" ref="BP3:CW3" si="3">ROUNDUP(BO3*1.01,0)</f>
        <v>68</v>
      </c>
      <c r="BQ3">
        <f t="shared" si="3"/>
        <v>69</v>
      </c>
      <c r="BR3">
        <f t="shared" si="3"/>
        <v>70</v>
      </c>
      <c r="BS3">
        <f t="shared" si="3"/>
        <v>71</v>
      </c>
      <c r="BT3">
        <f t="shared" si="3"/>
        <v>72</v>
      </c>
      <c r="BU3">
        <f t="shared" si="3"/>
        <v>73</v>
      </c>
      <c r="BV3">
        <f t="shared" si="3"/>
        <v>74</v>
      </c>
      <c r="BW3">
        <f t="shared" si="3"/>
        <v>75</v>
      </c>
      <c r="BX3">
        <f t="shared" si="3"/>
        <v>76</v>
      </c>
      <c r="BY3">
        <f t="shared" si="3"/>
        <v>77</v>
      </c>
      <c r="BZ3">
        <f t="shared" si="3"/>
        <v>78</v>
      </c>
      <c r="CA3">
        <f t="shared" si="3"/>
        <v>79</v>
      </c>
      <c r="CB3">
        <f t="shared" si="3"/>
        <v>80</v>
      </c>
      <c r="CC3">
        <f t="shared" si="3"/>
        <v>81</v>
      </c>
      <c r="CD3">
        <f t="shared" si="3"/>
        <v>82</v>
      </c>
      <c r="CE3">
        <f t="shared" si="3"/>
        <v>83</v>
      </c>
      <c r="CF3">
        <f t="shared" si="3"/>
        <v>84</v>
      </c>
      <c r="CG3">
        <f t="shared" si="3"/>
        <v>85</v>
      </c>
      <c r="CH3">
        <f t="shared" si="3"/>
        <v>86</v>
      </c>
      <c r="CI3">
        <f t="shared" si="3"/>
        <v>87</v>
      </c>
      <c r="CJ3">
        <f t="shared" si="3"/>
        <v>88</v>
      </c>
      <c r="CK3">
        <f t="shared" si="3"/>
        <v>89</v>
      </c>
      <c r="CL3">
        <f t="shared" si="3"/>
        <v>90</v>
      </c>
      <c r="CM3">
        <f t="shared" si="3"/>
        <v>91</v>
      </c>
      <c r="CN3">
        <f t="shared" si="3"/>
        <v>92</v>
      </c>
      <c r="CO3">
        <f t="shared" si="3"/>
        <v>93</v>
      </c>
      <c r="CP3">
        <f t="shared" si="3"/>
        <v>94</v>
      </c>
      <c r="CQ3">
        <f t="shared" si="3"/>
        <v>95</v>
      </c>
      <c r="CR3">
        <f t="shared" si="3"/>
        <v>96</v>
      </c>
      <c r="CS3">
        <f t="shared" si="3"/>
        <v>97</v>
      </c>
      <c r="CT3">
        <f t="shared" si="3"/>
        <v>98</v>
      </c>
      <c r="CU3">
        <f t="shared" si="3"/>
        <v>99</v>
      </c>
      <c r="CV3">
        <f t="shared" si="3"/>
        <v>100</v>
      </c>
      <c r="CW3">
        <f t="shared" si="3"/>
        <v>101</v>
      </c>
    </row>
    <row r="4" spans="1:101" x14ac:dyDescent="0.15">
      <c r="A4" t="s">
        <v>131</v>
      </c>
      <c r="B4">
        <v>50</v>
      </c>
      <c r="C4">
        <f>ROUNDUP(B4*1.03,0)</f>
        <v>52</v>
      </c>
      <c r="D4">
        <f t="shared" ref="D4:BO4" si="4">ROUNDUP(C4*1.03,0)</f>
        <v>54</v>
      </c>
      <c r="E4">
        <f t="shared" si="4"/>
        <v>56</v>
      </c>
      <c r="F4">
        <f t="shared" si="4"/>
        <v>58</v>
      </c>
      <c r="G4">
        <f t="shared" si="4"/>
        <v>60</v>
      </c>
      <c r="H4">
        <f t="shared" si="4"/>
        <v>62</v>
      </c>
      <c r="I4">
        <f t="shared" si="4"/>
        <v>64</v>
      </c>
      <c r="J4">
        <f t="shared" si="4"/>
        <v>66</v>
      </c>
      <c r="K4">
        <f t="shared" si="4"/>
        <v>68</v>
      </c>
      <c r="L4">
        <f t="shared" si="4"/>
        <v>71</v>
      </c>
      <c r="M4">
        <f t="shared" si="4"/>
        <v>74</v>
      </c>
      <c r="N4">
        <f t="shared" si="4"/>
        <v>77</v>
      </c>
      <c r="O4">
        <f t="shared" si="4"/>
        <v>80</v>
      </c>
      <c r="P4">
        <f t="shared" si="4"/>
        <v>83</v>
      </c>
      <c r="Q4">
        <f t="shared" si="4"/>
        <v>86</v>
      </c>
      <c r="R4">
        <f t="shared" si="4"/>
        <v>89</v>
      </c>
      <c r="S4">
        <f t="shared" si="4"/>
        <v>92</v>
      </c>
      <c r="T4">
        <f t="shared" si="4"/>
        <v>95</v>
      </c>
      <c r="U4">
        <f t="shared" si="4"/>
        <v>98</v>
      </c>
      <c r="V4">
        <f t="shared" si="4"/>
        <v>101</v>
      </c>
      <c r="W4">
        <f t="shared" si="4"/>
        <v>105</v>
      </c>
      <c r="X4">
        <f t="shared" si="4"/>
        <v>109</v>
      </c>
      <c r="Y4">
        <f t="shared" si="4"/>
        <v>113</v>
      </c>
      <c r="Z4">
        <f t="shared" si="4"/>
        <v>117</v>
      </c>
      <c r="AA4">
        <f t="shared" si="4"/>
        <v>121</v>
      </c>
      <c r="AB4">
        <f t="shared" si="4"/>
        <v>125</v>
      </c>
      <c r="AC4">
        <f t="shared" si="4"/>
        <v>129</v>
      </c>
      <c r="AD4">
        <f t="shared" si="4"/>
        <v>133</v>
      </c>
      <c r="AE4">
        <f t="shared" si="4"/>
        <v>137</v>
      </c>
      <c r="AF4">
        <f t="shared" si="4"/>
        <v>142</v>
      </c>
      <c r="AG4">
        <f t="shared" si="4"/>
        <v>147</v>
      </c>
      <c r="AH4">
        <f t="shared" si="4"/>
        <v>152</v>
      </c>
      <c r="AI4">
        <f t="shared" si="4"/>
        <v>157</v>
      </c>
      <c r="AJ4">
        <f t="shared" si="4"/>
        <v>162</v>
      </c>
      <c r="AK4">
        <f t="shared" si="4"/>
        <v>167</v>
      </c>
      <c r="AL4">
        <f t="shared" si="4"/>
        <v>173</v>
      </c>
      <c r="AM4">
        <f t="shared" si="4"/>
        <v>179</v>
      </c>
      <c r="AN4">
        <f t="shared" si="4"/>
        <v>185</v>
      </c>
      <c r="AO4">
        <f t="shared" si="4"/>
        <v>191</v>
      </c>
      <c r="AP4">
        <f t="shared" si="4"/>
        <v>197</v>
      </c>
      <c r="AQ4">
        <f t="shared" si="4"/>
        <v>203</v>
      </c>
      <c r="AR4">
        <f t="shared" si="4"/>
        <v>210</v>
      </c>
      <c r="AS4">
        <f t="shared" si="4"/>
        <v>217</v>
      </c>
      <c r="AT4">
        <f t="shared" si="4"/>
        <v>224</v>
      </c>
      <c r="AU4">
        <f t="shared" si="4"/>
        <v>231</v>
      </c>
      <c r="AV4">
        <f t="shared" si="4"/>
        <v>238</v>
      </c>
      <c r="AW4">
        <f t="shared" si="4"/>
        <v>246</v>
      </c>
      <c r="AX4">
        <f t="shared" si="4"/>
        <v>254</v>
      </c>
      <c r="AY4">
        <f t="shared" si="4"/>
        <v>262</v>
      </c>
      <c r="AZ4">
        <f t="shared" si="4"/>
        <v>270</v>
      </c>
      <c r="BA4">
        <f t="shared" si="4"/>
        <v>279</v>
      </c>
      <c r="BB4">
        <f t="shared" si="4"/>
        <v>288</v>
      </c>
      <c r="BC4">
        <f t="shared" si="4"/>
        <v>297</v>
      </c>
      <c r="BD4">
        <f t="shared" si="4"/>
        <v>306</v>
      </c>
      <c r="BE4">
        <f t="shared" si="4"/>
        <v>316</v>
      </c>
      <c r="BF4">
        <f t="shared" si="4"/>
        <v>326</v>
      </c>
      <c r="BG4">
        <f t="shared" si="4"/>
        <v>336</v>
      </c>
      <c r="BH4">
        <f t="shared" si="4"/>
        <v>347</v>
      </c>
      <c r="BI4">
        <f t="shared" si="4"/>
        <v>358</v>
      </c>
      <c r="BJ4">
        <f t="shared" si="4"/>
        <v>369</v>
      </c>
      <c r="BK4">
        <f t="shared" si="4"/>
        <v>381</v>
      </c>
      <c r="BL4">
        <f t="shared" si="4"/>
        <v>393</v>
      </c>
      <c r="BM4">
        <f t="shared" si="4"/>
        <v>405</v>
      </c>
      <c r="BN4">
        <f t="shared" si="4"/>
        <v>418</v>
      </c>
      <c r="BO4">
        <f t="shared" si="4"/>
        <v>431</v>
      </c>
      <c r="BP4">
        <f t="shared" ref="BP4:CW4" si="5">ROUNDUP(BO4*1.03,0)</f>
        <v>444</v>
      </c>
      <c r="BQ4">
        <f t="shared" si="5"/>
        <v>458</v>
      </c>
      <c r="BR4">
        <f t="shared" si="5"/>
        <v>472</v>
      </c>
      <c r="BS4">
        <f t="shared" si="5"/>
        <v>487</v>
      </c>
      <c r="BT4">
        <f t="shared" si="5"/>
        <v>502</v>
      </c>
      <c r="BU4">
        <f t="shared" si="5"/>
        <v>518</v>
      </c>
      <c r="BV4">
        <f t="shared" si="5"/>
        <v>534</v>
      </c>
      <c r="BW4">
        <f t="shared" si="5"/>
        <v>551</v>
      </c>
      <c r="BX4">
        <f t="shared" si="5"/>
        <v>568</v>
      </c>
      <c r="BY4">
        <f t="shared" si="5"/>
        <v>586</v>
      </c>
      <c r="BZ4">
        <f t="shared" si="5"/>
        <v>604</v>
      </c>
      <c r="CA4">
        <f t="shared" si="5"/>
        <v>623</v>
      </c>
      <c r="CB4">
        <f t="shared" si="5"/>
        <v>642</v>
      </c>
      <c r="CC4">
        <f t="shared" si="5"/>
        <v>662</v>
      </c>
      <c r="CD4">
        <f t="shared" si="5"/>
        <v>682</v>
      </c>
      <c r="CE4">
        <f t="shared" si="5"/>
        <v>703</v>
      </c>
      <c r="CF4">
        <f t="shared" si="5"/>
        <v>725</v>
      </c>
      <c r="CG4">
        <f t="shared" si="5"/>
        <v>747</v>
      </c>
      <c r="CH4">
        <f t="shared" si="5"/>
        <v>770</v>
      </c>
      <c r="CI4">
        <f t="shared" si="5"/>
        <v>794</v>
      </c>
      <c r="CJ4">
        <f t="shared" si="5"/>
        <v>818</v>
      </c>
      <c r="CK4">
        <f t="shared" si="5"/>
        <v>843</v>
      </c>
      <c r="CL4">
        <f t="shared" si="5"/>
        <v>869</v>
      </c>
      <c r="CM4">
        <f t="shared" si="5"/>
        <v>896</v>
      </c>
      <c r="CN4">
        <f t="shared" si="5"/>
        <v>923</v>
      </c>
      <c r="CO4">
        <f t="shared" si="5"/>
        <v>951</v>
      </c>
      <c r="CP4">
        <f t="shared" si="5"/>
        <v>980</v>
      </c>
      <c r="CQ4">
        <f t="shared" si="5"/>
        <v>1010</v>
      </c>
      <c r="CR4">
        <f t="shared" si="5"/>
        <v>1041</v>
      </c>
      <c r="CS4">
        <f t="shared" si="5"/>
        <v>1073</v>
      </c>
      <c r="CT4">
        <f t="shared" si="5"/>
        <v>1106</v>
      </c>
      <c r="CU4">
        <f t="shared" si="5"/>
        <v>1140</v>
      </c>
      <c r="CV4">
        <f t="shared" si="5"/>
        <v>1175</v>
      </c>
      <c r="CW4">
        <f t="shared" si="5"/>
        <v>1211</v>
      </c>
    </row>
    <row r="5" spans="1:101" x14ac:dyDescent="0.15">
      <c r="A5" t="s">
        <v>132</v>
      </c>
      <c r="B5">
        <v>20</v>
      </c>
      <c r="C5">
        <f>ROUNDUP(B5*1.01,0)</f>
        <v>21</v>
      </c>
      <c r="D5">
        <f t="shared" ref="D5:BO5" si="6">ROUNDUP(C5*1.01,0)</f>
        <v>22</v>
      </c>
      <c r="E5">
        <f t="shared" si="6"/>
        <v>23</v>
      </c>
      <c r="F5">
        <f t="shared" si="6"/>
        <v>24</v>
      </c>
      <c r="G5">
        <f t="shared" si="6"/>
        <v>25</v>
      </c>
      <c r="H5">
        <f t="shared" si="6"/>
        <v>26</v>
      </c>
      <c r="I5">
        <f t="shared" si="6"/>
        <v>27</v>
      </c>
      <c r="J5">
        <f t="shared" si="6"/>
        <v>28</v>
      </c>
      <c r="K5">
        <f t="shared" si="6"/>
        <v>29</v>
      </c>
      <c r="L5">
        <f t="shared" si="6"/>
        <v>30</v>
      </c>
      <c r="M5">
        <f t="shared" si="6"/>
        <v>31</v>
      </c>
      <c r="N5">
        <f t="shared" si="6"/>
        <v>32</v>
      </c>
      <c r="O5">
        <f t="shared" si="6"/>
        <v>33</v>
      </c>
      <c r="P5">
        <f t="shared" si="6"/>
        <v>34</v>
      </c>
      <c r="Q5">
        <f t="shared" si="6"/>
        <v>35</v>
      </c>
      <c r="R5">
        <f t="shared" si="6"/>
        <v>36</v>
      </c>
      <c r="S5">
        <f t="shared" si="6"/>
        <v>37</v>
      </c>
      <c r="T5">
        <f t="shared" si="6"/>
        <v>38</v>
      </c>
      <c r="U5">
        <f t="shared" si="6"/>
        <v>39</v>
      </c>
      <c r="V5">
        <f t="shared" si="6"/>
        <v>40</v>
      </c>
      <c r="W5">
        <f t="shared" si="6"/>
        <v>41</v>
      </c>
      <c r="X5">
        <f t="shared" si="6"/>
        <v>42</v>
      </c>
      <c r="Y5">
        <f t="shared" si="6"/>
        <v>43</v>
      </c>
      <c r="Z5">
        <f t="shared" si="6"/>
        <v>44</v>
      </c>
      <c r="AA5">
        <f t="shared" si="6"/>
        <v>45</v>
      </c>
      <c r="AB5">
        <f t="shared" si="6"/>
        <v>46</v>
      </c>
      <c r="AC5">
        <f t="shared" si="6"/>
        <v>47</v>
      </c>
      <c r="AD5">
        <f t="shared" si="6"/>
        <v>48</v>
      </c>
      <c r="AE5">
        <f t="shared" si="6"/>
        <v>49</v>
      </c>
      <c r="AF5">
        <f t="shared" si="6"/>
        <v>50</v>
      </c>
      <c r="AG5">
        <f t="shared" si="6"/>
        <v>51</v>
      </c>
      <c r="AH5">
        <f t="shared" si="6"/>
        <v>52</v>
      </c>
      <c r="AI5">
        <f t="shared" si="6"/>
        <v>53</v>
      </c>
      <c r="AJ5">
        <f t="shared" si="6"/>
        <v>54</v>
      </c>
      <c r="AK5">
        <f t="shared" si="6"/>
        <v>55</v>
      </c>
      <c r="AL5">
        <f t="shared" si="6"/>
        <v>56</v>
      </c>
      <c r="AM5">
        <f t="shared" si="6"/>
        <v>57</v>
      </c>
      <c r="AN5">
        <f t="shared" si="6"/>
        <v>58</v>
      </c>
      <c r="AO5">
        <f t="shared" si="6"/>
        <v>59</v>
      </c>
      <c r="AP5">
        <f t="shared" si="6"/>
        <v>60</v>
      </c>
      <c r="AQ5">
        <f t="shared" si="6"/>
        <v>61</v>
      </c>
      <c r="AR5">
        <f t="shared" si="6"/>
        <v>62</v>
      </c>
      <c r="AS5">
        <f t="shared" si="6"/>
        <v>63</v>
      </c>
      <c r="AT5">
        <f t="shared" si="6"/>
        <v>64</v>
      </c>
      <c r="AU5">
        <f t="shared" si="6"/>
        <v>65</v>
      </c>
      <c r="AV5">
        <f t="shared" si="6"/>
        <v>66</v>
      </c>
      <c r="AW5">
        <f t="shared" si="6"/>
        <v>67</v>
      </c>
      <c r="AX5">
        <f t="shared" si="6"/>
        <v>68</v>
      </c>
      <c r="AY5">
        <f t="shared" si="6"/>
        <v>69</v>
      </c>
      <c r="AZ5">
        <f t="shared" si="6"/>
        <v>70</v>
      </c>
      <c r="BA5">
        <f t="shared" si="6"/>
        <v>71</v>
      </c>
      <c r="BB5">
        <f t="shared" si="6"/>
        <v>72</v>
      </c>
      <c r="BC5">
        <f t="shared" si="6"/>
        <v>73</v>
      </c>
      <c r="BD5">
        <f t="shared" si="6"/>
        <v>74</v>
      </c>
      <c r="BE5">
        <f t="shared" si="6"/>
        <v>75</v>
      </c>
      <c r="BF5">
        <f t="shared" si="6"/>
        <v>76</v>
      </c>
      <c r="BG5">
        <f t="shared" si="6"/>
        <v>77</v>
      </c>
      <c r="BH5">
        <f t="shared" si="6"/>
        <v>78</v>
      </c>
      <c r="BI5">
        <f t="shared" si="6"/>
        <v>79</v>
      </c>
      <c r="BJ5">
        <f t="shared" si="6"/>
        <v>80</v>
      </c>
      <c r="BK5">
        <f t="shared" si="6"/>
        <v>81</v>
      </c>
      <c r="BL5">
        <f t="shared" si="6"/>
        <v>82</v>
      </c>
      <c r="BM5">
        <f t="shared" si="6"/>
        <v>83</v>
      </c>
      <c r="BN5">
        <f t="shared" si="6"/>
        <v>84</v>
      </c>
      <c r="BO5">
        <f t="shared" si="6"/>
        <v>85</v>
      </c>
      <c r="BP5">
        <f t="shared" ref="BP5:CW5" si="7">ROUNDUP(BO5*1.01,0)</f>
        <v>86</v>
      </c>
      <c r="BQ5">
        <f t="shared" si="7"/>
        <v>87</v>
      </c>
      <c r="BR5">
        <f t="shared" si="7"/>
        <v>88</v>
      </c>
      <c r="BS5">
        <f t="shared" si="7"/>
        <v>89</v>
      </c>
      <c r="BT5">
        <f t="shared" si="7"/>
        <v>90</v>
      </c>
      <c r="BU5">
        <f t="shared" si="7"/>
        <v>91</v>
      </c>
      <c r="BV5">
        <f t="shared" si="7"/>
        <v>92</v>
      </c>
      <c r="BW5">
        <f t="shared" si="7"/>
        <v>93</v>
      </c>
      <c r="BX5">
        <f t="shared" si="7"/>
        <v>94</v>
      </c>
      <c r="BY5">
        <f t="shared" si="7"/>
        <v>95</v>
      </c>
      <c r="BZ5">
        <f t="shared" si="7"/>
        <v>96</v>
      </c>
      <c r="CA5">
        <f t="shared" si="7"/>
        <v>97</v>
      </c>
      <c r="CB5">
        <f t="shared" si="7"/>
        <v>98</v>
      </c>
      <c r="CC5">
        <f t="shared" si="7"/>
        <v>99</v>
      </c>
      <c r="CD5">
        <f t="shared" si="7"/>
        <v>100</v>
      </c>
      <c r="CE5">
        <f t="shared" si="7"/>
        <v>101</v>
      </c>
      <c r="CF5">
        <f t="shared" si="7"/>
        <v>103</v>
      </c>
      <c r="CG5">
        <f t="shared" si="7"/>
        <v>105</v>
      </c>
      <c r="CH5">
        <f t="shared" si="7"/>
        <v>107</v>
      </c>
      <c r="CI5">
        <f t="shared" si="7"/>
        <v>109</v>
      </c>
      <c r="CJ5">
        <f t="shared" si="7"/>
        <v>111</v>
      </c>
      <c r="CK5">
        <f t="shared" si="7"/>
        <v>113</v>
      </c>
      <c r="CL5">
        <f t="shared" si="7"/>
        <v>115</v>
      </c>
      <c r="CM5">
        <f t="shared" si="7"/>
        <v>117</v>
      </c>
      <c r="CN5">
        <f t="shared" si="7"/>
        <v>119</v>
      </c>
      <c r="CO5">
        <f t="shared" si="7"/>
        <v>121</v>
      </c>
      <c r="CP5">
        <f t="shared" si="7"/>
        <v>123</v>
      </c>
      <c r="CQ5">
        <f t="shared" si="7"/>
        <v>125</v>
      </c>
      <c r="CR5">
        <f t="shared" si="7"/>
        <v>127</v>
      </c>
      <c r="CS5">
        <f t="shared" si="7"/>
        <v>129</v>
      </c>
      <c r="CT5">
        <f t="shared" si="7"/>
        <v>131</v>
      </c>
      <c r="CU5">
        <f t="shared" si="7"/>
        <v>133</v>
      </c>
      <c r="CV5">
        <f t="shared" si="7"/>
        <v>135</v>
      </c>
      <c r="CW5">
        <f t="shared" si="7"/>
        <v>137</v>
      </c>
    </row>
    <row r="7" spans="1:101" x14ac:dyDescent="0.15">
      <c r="A7" t="s">
        <v>133</v>
      </c>
      <c r="B7">
        <v>20</v>
      </c>
      <c r="C7">
        <f>ROUNDUP(B7*1.5,0)</f>
        <v>30</v>
      </c>
      <c r="D7">
        <f t="shared" ref="D7:K7" si="8">ROUNDUP(C7*1.5,0)</f>
        <v>45</v>
      </c>
      <c r="E7">
        <f t="shared" si="8"/>
        <v>68</v>
      </c>
      <c r="F7">
        <f t="shared" si="8"/>
        <v>102</v>
      </c>
      <c r="G7">
        <f t="shared" si="8"/>
        <v>153</v>
      </c>
      <c r="H7">
        <f t="shared" si="8"/>
        <v>230</v>
      </c>
      <c r="I7">
        <f t="shared" si="8"/>
        <v>345</v>
      </c>
      <c r="J7">
        <f t="shared" si="8"/>
        <v>518</v>
      </c>
      <c r="K7">
        <f t="shared" si="8"/>
        <v>777</v>
      </c>
      <c r="L7">
        <f>ROUNDUP(K7*1.3,0)</f>
        <v>1011</v>
      </c>
      <c r="M7">
        <f t="shared" ref="M7:U7" si="9">ROUNDUP(L7*1.3,0)</f>
        <v>1315</v>
      </c>
      <c r="N7">
        <f t="shared" si="9"/>
        <v>1710</v>
      </c>
      <c r="O7">
        <f t="shared" si="9"/>
        <v>2223</v>
      </c>
      <c r="P7">
        <f t="shared" si="9"/>
        <v>2890</v>
      </c>
      <c r="Q7">
        <f t="shared" si="9"/>
        <v>3757</v>
      </c>
      <c r="R7">
        <f t="shared" si="9"/>
        <v>4885</v>
      </c>
      <c r="S7">
        <f t="shared" si="9"/>
        <v>6351</v>
      </c>
      <c r="T7">
        <f t="shared" si="9"/>
        <v>8257</v>
      </c>
      <c r="U7">
        <f t="shared" si="9"/>
        <v>10735</v>
      </c>
      <c r="V7">
        <f>ROUNDUP(U7*1.2,0)</f>
        <v>12882</v>
      </c>
      <c r="W7">
        <f t="shared" ref="W7:AE7" si="10">ROUNDUP(V7*1.2,0)</f>
        <v>15459</v>
      </c>
      <c r="X7">
        <f t="shared" si="10"/>
        <v>18551</v>
      </c>
      <c r="Y7">
        <f t="shared" si="10"/>
        <v>22262</v>
      </c>
      <c r="Z7">
        <f t="shared" si="10"/>
        <v>26715</v>
      </c>
      <c r="AA7">
        <f t="shared" si="10"/>
        <v>32058</v>
      </c>
      <c r="AB7">
        <f t="shared" si="10"/>
        <v>38470</v>
      </c>
      <c r="AC7">
        <f t="shared" si="10"/>
        <v>46164</v>
      </c>
      <c r="AD7">
        <f t="shared" si="10"/>
        <v>55397</v>
      </c>
      <c r="AE7">
        <f t="shared" si="10"/>
        <v>66477</v>
      </c>
      <c r="AF7">
        <f>ROUNDUP(AE7*1.1,0)</f>
        <v>73125</v>
      </c>
      <c r="AG7">
        <f t="shared" ref="AG7:AO7" si="11">ROUNDUP(AF7*1.1,0)</f>
        <v>80438</v>
      </c>
      <c r="AH7">
        <f t="shared" si="11"/>
        <v>88482</v>
      </c>
      <c r="AI7">
        <f t="shared" si="11"/>
        <v>97331</v>
      </c>
      <c r="AJ7">
        <f t="shared" si="11"/>
        <v>107065</v>
      </c>
      <c r="AK7">
        <f t="shared" si="11"/>
        <v>117772</v>
      </c>
      <c r="AL7">
        <f t="shared" si="11"/>
        <v>129550</v>
      </c>
      <c r="AM7">
        <f t="shared" si="11"/>
        <v>142505</v>
      </c>
      <c r="AN7">
        <f t="shared" si="11"/>
        <v>156756</v>
      </c>
      <c r="AO7">
        <f t="shared" si="11"/>
        <v>172432</v>
      </c>
      <c r="AP7">
        <f>ROUNDUP(AO7*1.05,0)</f>
        <v>181054</v>
      </c>
      <c r="AQ7">
        <f t="shared" ref="AQ7:AY7" si="12">ROUNDUP(AP7*1.05,0)</f>
        <v>190107</v>
      </c>
      <c r="AR7">
        <f t="shared" si="12"/>
        <v>199613</v>
      </c>
      <c r="AS7">
        <f t="shared" si="12"/>
        <v>209594</v>
      </c>
      <c r="AT7">
        <f t="shared" si="12"/>
        <v>220074</v>
      </c>
      <c r="AU7">
        <f t="shared" si="12"/>
        <v>231078</v>
      </c>
      <c r="AV7">
        <f t="shared" si="12"/>
        <v>242632</v>
      </c>
      <c r="AW7">
        <f t="shared" si="12"/>
        <v>254764</v>
      </c>
      <c r="AX7">
        <f t="shared" si="12"/>
        <v>267503</v>
      </c>
      <c r="AY7">
        <f t="shared" si="12"/>
        <v>280879</v>
      </c>
      <c r="AZ7">
        <f>ROUNDUP(AY7*1.2,0)</f>
        <v>337055</v>
      </c>
      <c r="BA7">
        <f t="shared" ref="BA7:CW7" si="13">ROUNDUP(AZ7*1.2,0)</f>
        <v>404466</v>
      </c>
      <c r="BB7">
        <f t="shared" si="13"/>
        <v>485360</v>
      </c>
      <c r="BC7">
        <f t="shared" si="13"/>
        <v>582432</v>
      </c>
      <c r="BD7">
        <f t="shared" si="13"/>
        <v>698919</v>
      </c>
      <c r="BE7">
        <f t="shared" si="13"/>
        <v>838703</v>
      </c>
      <c r="BF7">
        <f t="shared" si="13"/>
        <v>1006444</v>
      </c>
      <c r="BG7">
        <f t="shared" si="13"/>
        <v>1207733</v>
      </c>
      <c r="BH7">
        <f t="shared" si="13"/>
        <v>1449280</v>
      </c>
      <c r="BI7">
        <f t="shared" si="13"/>
        <v>1739136</v>
      </c>
      <c r="BJ7">
        <f t="shared" si="13"/>
        <v>2086964</v>
      </c>
      <c r="BK7">
        <f t="shared" si="13"/>
        <v>2504357</v>
      </c>
      <c r="BL7">
        <f t="shared" si="13"/>
        <v>3005229</v>
      </c>
      <c r="BM7">
        <f t="shared" si="13"/>
        <v>3606275</v>
      </c>
      <c r="BN7">
        <f t="shared" si="13"/>
        <v>4327530</v>
      </c>
      <c r="BO7">
        <f t="shared" si="13"/>
        <v>5193036</v>
      </c>
      <c r="BP7">
        <f t="shared" si="13"/>
        <v>6231644</v>
      </c>
      <c r="BQ7">
        <f t="shared" si="13"/>
        <v>7477973</v>
      </c>
      <c r="BR7">
        <f t="shared" si="13"/>
        <v>8973568</v>
      </c>
      <c r="BS7">
        <f t="shared" si="13"/>
        <v>10768282</v>
      </c>
      <c r="BT7">
        <f t="shared" si="13"/>
        <v>12921939</v>
      </c>
      <c r="BU7">
        <f t="shared" si="13"/>
        <v>15506327</v>
      </c>
      <c r="BV7">
        <f t="shared" si="13"/>
        <v>18607593</v>
      </c>
      <c r="BW7">
        <f t="shared" si="13"/>
        <v>22329112</v>
      </c>
      <c r="BX7">
        <f t="shared" si="13"/>
        <v>26794935</v>
      </c>
      <c r="BY7">
        <f t="shared" si="13"/>
        <v>32153922</v>
      </c>
      <c r="BZ7">
        <f t="shared" si="13"/>
        <v>38584707</v>
      </c>
      <c r="CA7">
        <f t="shared" si="13"/>
        <v>46301649</v>
      </c>
      <c r="CB7">
        <f t="shared" si="13"/>
        <v>55561979</v>
      </c>
      <c r="CC7">
        <f t="shared" si="13"/>
        <v>66674375</v>
      </c>
      <c r="CD7">
        <f t="shared" si="13"/>
        <v>80009250</v>
      </c>
      <c r="CE7">
        <f t="shared" si="13"/>
        <v>96011100</v>
      </c>
      <c r="CF7">
        <f t="shared" si="13"/>
        <v>115213320</v>
      </c>
      <c r="CG7">
        <f t="shared" si="13"/>
        <v>138255984</v>
      </c>
      <c r="CH7">
        <f t="shared" si="13"/>
        <v>165907181</v>
      </c>
      <c r="CI7">
        <f t="shared" si="13"/>
        <v>199088618</v>
      </c>
      <c r="CJ7">
        <f t="shared" si="13"/>
        <v>238906342</v>
      </c>
      <c r="CK7">
        <f t="shared" si="13"/>
        <v>286687611</v>
      </c>
      <c r="CL7">
        <f t="shared" si="13"/>
        <v>344025134</v>
      </c>
      <c r="CM7">
        <f t="shared" si="13"/>
        <v>412830161</v>
      </c>
      <c r="CN7">
        <f t="shared" si="13"/>
        <v>495396194</v>
      </c>
      <c r="CO7">
        <f t="shared" si="13"/>
        <v>594475433</v>
      </c>
      <c r="CP7">
        <f t="shared" si="13"/>
        <v>713370520</v>
      </c>
      <c r="CQ7">
        <f t="shared" si="13"/>
        <v>856044624</v>
      </c>
      <c r="CR7">
        <f t="shared" si="13"/>
        <v>1027253549</v>
      </c>
      <c r="CS7">
        <f t="shared" si="13"/>
        <v>1232704259</v>
      </c>
      <c r="CT7">
        <f t="shared" si="13"/>
        <v>1479245111</v>
      </c>
      <c r="CU7">
        <f t="shared" si="13"/>
        <v>1775094134</v>
      </c>
      <c r="CV7">
        <f t="shared" si="13"/>
        <v>2130112961</v>
      </c>
      <c r="CW7">
        <f t="shared" si="13"/>
        <v>2556135554</v>
      </c>
    </row>
    <row r="12" spans="1:101" x14ac:dyDescent="0.15">
      <c r="A12" t="s">
        <v>134</v>
      </c>
      <c r="B12">
        <v>1</v>
      </c>
      <c r="C12">
        <v>2</v>
      </c>
      <c r="D12">
        <v>2</v>
      </c>
      <c r="E12">
        <v>3</v>
      </c>
      <c r="F12">
        <v>4</v>
      </c>
      <c r="G12">
        <v>6</v>
      </c>
      <c r="H12">
        <v>7</v>
      </c>
      <c r="I12">
        <v>9</v>
      </c>
      <c r="J12">
        <v>11</v>
      </c>
      <c r="K12">
        <v>15</v>
      </c>
      <c r="L12">
        <v>17</v>
      </c>
    </row>
    <row r="14" spans="1:101" x14ac:dyDescent="0.15">
      <c r="B14">
        <f>B7/B12</f>
        <v>20</v>
      </c>
      <c r="C14">
        <f t="shared" ref="C14:L14" si="14">C7/C12</f>
        <v>15</v>
      </c>
      <c r="D14">
        <f t="shared" si="14"/>
        <v>22.5</v>
      </c>
      <c r="E14">
        <f t="shared" si="14"/>
        <v>22.666666666666668</v>
      </c>
      <c r="F14">
        <f t="shared" si="14"/>
        <v>25.5</v>
      </c>
      <c r="G14">
        <f t="shared" si="14"/>
        <v>25.5</v>
      </c>
      <c r="H14">
        <f t="shared" si="14"/>
        <v>32.857142857142854</v>
      </c>
      <c r="I14">
        <f t="shared" si="14"/>
        <v>38.333333333333336</v>
      </c>
      <c r="J14">
        <f t="shared" si="14"/>
        <v>47.090909090909093</v>
      </c>
      <c r="K14">
        <f t="shared" si="14"/>
        <v>51.8</v>
      </c>
      <c r="L14">
        <f t="shared" si="14"/>
        <v>59.470588235294116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top</vt:lpstr>
      <vt:lpstr>map</vt:lpstr>
      <vt:lpstr>monster</vt:lpstr>
      <vt:lpstr>mono_wuqi</vt:lpstr>
      <vt:lpstr>mono_yaoshui</vt:lpstr>
      <vt:lpstr>group</vt:lpstr>
      <vt:lpstr>jineng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2019-04-23T05:44:24Z</dcterms:modified>
</cp:coreProperties>
</file>